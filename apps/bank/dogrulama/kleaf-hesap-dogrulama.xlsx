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· Kapak" sheetId="1" state="visible" r:id="rId1"/>
    <sheet name="1 · Temel Emisyon" sheetId="2" state="visible" r:id="rId2"/>
    <sheet name="2 · Kapsam+GES" sheetId="3" state="visible" r:id="rId3"/>
    <sheet name="3 · Göstergeler" sheetId="4" state="visible" r:id="rId4"/>
    <sheet name="4 · Patika+Projeksiyon" sheetId="5" state="visible" r:id="rId5"/>
    <sheet name="5 · Senaryo Azaltım" sheetId="6" state="visible" r:id="rId6"/>
    <sheet name="6 · Senaryo TL" sheetId="7" state="visible" r:id="rId7"/>
    <sheet name="7 · Yıllıklandırma" sheetId="8" state="visible" r:id="rId8"/>
    <sheet name="8 · Finansal" sheetId="9" state="visible" r:id="rId9"/>
    <sheet name="9 · GES Fizibilite" sheetId="10" state="visible" r:id="rId10"/>
    <sheet name="10 · Enerji Eşdeğeri" sheetId="11" state="visible" r:id="rId11"/>
    <sheet name="11 · Veri Kalitesi" sheetId="12" state="visible" r:id="rId12"/>
    <sheet name="12 · Fil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8">
    <font>
      <name val="Calibri"/>
      <family val="2"/>
      <color theme="1"/>
      <sz val="11"/>
      <scheme val="minor"/>
    </font>
    <font>
      <b val="1"/>
      <color rgb="001B5E20"/>
      <sz val="16"/>
    </font>
    <font>
      <i val="1"/>
      <color rgb="00555555"/>
      <sz val="9"/>
    </font>
    <font>
      <b val="1"/>
      <color rgb="002E7D32"/>
      <sz val="11"/>
    </font>
    <font>
      <b val="1"/>
    </font>
    <font>
      <b val="1"/>
      <color rgb="00FFFFFF"/>
    </font>
    <font>
      <b val="1"/>
      <color rgb="001B5E20"/>
      <sz val="14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F1F8E9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5" borderId="1" pivotButton="0" quotePrefix="0" xfId="0"/>
    <xf numFmtId="164" fontId="0" fillId="5" borderId="1" pivotButton="0" quotePrefix="0" xfId="0"/>
    <xf numFmtId="164" fontId="0" fillId="6" borderId="1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1" pivotButton="0" quotePrefix="0" xfId="0"/>
    <xf numFmtId="4" fontId="0" fillId="6" borderId="1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4" borderId="1" pivotButton="0" quotePrefix="0" xfId="0"/>
    <xf numFmtId="0" fontId="5" fillId="3" borderId="1" applyAlignment="1" pivotButton="0" quotePrefix="0" xfId="0">
      <alignment horizontal="left" vertical="center" wrapText="1"/>
    </xf>
    <xf numFmtId="2" fontId="0" fillId="5" borderId="1" pivotButton="0" quotePrefix="0" xfId="0"/>
    <xf numFmtId="2" fontId="0" fillId="6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0" fillId="6" borderId="1" pivotButton="0" quotePrefix="0" xfId="0"/>
    <xf numFmtId="3" fontId="0" fillId="4" borderId="1" pivotButton="0" quotePrefix="0" xfId="0"/>
    <xf numFmtId="0" fontId="0" fillId="4" borderId="1" pivotButton="0" quotePrefix="0" xfId="0"/>
    <xf numFmtId="0" fontId="4" fillId="0" borderId="1" pivotButton="0" quotePrefix="0" xfId="0"/>
    <xf numFmtId="4" fontId="0" fillId="4" borderId="1" pivotButton="0" quotePrefix="0" xfId="0"/>
    <xf numFmtId="3" fontId="0" fillId="5" borderId="1" pivotButton="0" quotePrefix="0" xfId="0"/>
    <xf numFmtId="3" fontId="0" fillId="6" borderId="1" pivotButton="0" quotePrefix="0" xfId="0"/>
    <xf numFmtId="11" fontId="0" fillId="5" borderId="1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30" customWidth="1" min="4" max="4"/>
    <col width="18" customWidth="1" min="5" max="5"/>
    <col width="10" customWidth="1" min="6" max="6"/>
  </cols>
  <sheetData>
    <row r="1">
      <c r="A1" s="1" t="inlineStr">
        <is>
          <t>Kleaf Karbon Hesaplama — Doğrulama Çalışma Kitabı</t>
        </is>
      </c>
    </row>
    <row r="2" ht="44" customHeight="1">
      <c r="A2" s="2" t="inlineStr">
        <is>
          <t>Hesap sürümü (CALC_VERSION): 1.1.0  ·  Tüm formüller engine.ts ile birebir. Sarı hücreler = CANLI Excel formülü, yeşil = motor beklenen değeri, KONTROL sütunu ikisini otomatik karşılaştırır.</t>
        </is>
      </c>
    </row>
    <row r="4">
      <c r="A4" s="3" t="inlineStr">
        <is>
          <t>İçindekiler — Hesap Modülleri</t>
        </is>
      </c>
    </row>
    <row r="5">
      <c r="A5" s="4" t="inlineStr">
        <is>
          <t>1 · Temel Emisyon</t>
        </is>
      </c>
      <c r="B5" s="5" t="inlineStr">
        <is>
          <t>computeKgCO2e, kgToTons — miktar × faktör, kredi/bilgi kuralları</t>
        </is>
      </c>
    </row>
    <row r="6">
      <c r="A6" s="4" t="inlineStr">
        <is>
          <t>2 · Kapsam + GES Mahsubu</t>
        </is>
      </c>
      <c r="B6" s="5" t="inlineStr">
        <is>
          <t>monthlyScopeTotals — Kapsam 2 aylık MAX(0, ...) kırpması</t>
        </is>
      </c>
    </row>
    <row r="7">
      <c r="A7" s="4" t="inlineStr">
        <is>
          <t>3 · Göstergeler</t>
        </is>
      </c>
      <c r="B7" s="5" t="inlineStr">
        <is>
          <t>yoyChangePct, intensityPerDenominator, targetGapPct</t>
        </is>
      </c>
    </row>
    <row r="8">
      <c r="A8" s="4" t="inlineStr">
        <is>
          <t>4 · Patika + Projeksiyon</t>
        </is>
      </c>
      <c r="B8" s="5" t="inlineStr">
        <is>
          <t>linearNetZeroPath, trendProjection (en küçük kareler)</t>
        </is>
      </c>
    </row>
    <row r="9">
      <c r="A9" s="4" t="inlineStr">
        <is>
          <t>5 · Senaryo Azaltım (t)</t>
        </is>
      </c>
      <c r="B9" s="5" t="inlineStr">
        <is>
          <t>scenarioAnnualSavings + clampPair üst sınır kuralı</t>
        </is>
      </c>
    </row>
    <row r="10">
      <c r="A10" s="4" t="inlineStr">
        <is>
          <t>6 · Senaryo Tasarruf (₺)</t>
        </is>
      </c>
      <c r="B10" s="5" t="inlineStr">
        <is>
          <t>scenarioAnnualSavingsTRY — kWh/m³/L → ₺</t>
        </is>
      </c>
    </row>
    <row r="11">
      <c r="A11" s="4" t="inlineStr">
        <is>
          <t>7 · Yıllıklandırma + Patika</t>
        </is>
      </c>
      <c r="B11" s="5" t="inlineStr">
        <is>
          <t>annualize, scenarioPath (rampalı azaltım)</t>
        </is>
      </c>
    </row>
    <row r="12">
      <c r="A12" s="4" t="inlineStr">
        <is>
          <t>8 · Finansal</t>
        </is>
      </c>
      <c r="B12" s="5" t="inlineStr">
        <is>
          <t>paybackYears, priorityScores (0–100 normalize)</t>
        </is>
      </c>
    </row>
    <row r="13">
      <c r="A13" s="4" t="inlineStr">
        <is>
          <t>9 · GES Fizibilite</t>
        </is>
      </c>
      <c r="B13" s="5" t="inlineStr">
        <is>
          <t>gesFeasibility, gesCoverageRatio</t>
        </is>
      </c>
    </row>
    <row r="14">
      <c r="A14" s="4" t="inlineStr">
        <is>
          <t>10 · Enerji Eşdeğeri</t>
        </is>
      </c>
      <c r="B14" s="5" t="inlineStr">
        <is>
          <t>kwhEquivalent, savingsTargetProgress</t>
        </is>
      </c>
    </row>
    <row r="15">
      <c r="A15" s="4" t="inlineStr">
        <is>
          <t>11 · Veri Kalitesi</t>
        </is>
      </c>
      <c r="B15" s="5" t="inlineStr">
        <is>
          <t>detectAnomalies (medyan+MAD), qualityScore</t>
        </is>
      </c>
    </row>
    <row r="16">
      <c r="A16" s="4" t="inlineStr">
        <is>
          <t>12 · Filo Önceliklendirme</t>
        </is>
      </c>
      <c r="B16" s="5" t="inlineStr">
        <is>
          <t>fleetPriorityScore, yakıt katsayıları</t>
        </is>
      </c>
    </row>
    <row r="18">
      <c r="A18" s="3" t="inlineStr">
        <is>
          <t>Faktör Kütüphanesi (factors.ts · DEFAULT_FACTORS)</t>
        </is>
      </c>
    </row>
    <row r="19">
      <c r="A19" s="6" t="inlineStr">
        <is>
          <t>Kategori</t>
        </is>
      </c>
      <c r="B19" s="6" t="inlineStr">
        <is>
          <t>Faktör</t>
        </is>
      </c>
      <c r="C19" s="6" t="inlineStr">
        <is>
          <t>Birim</t>
        </is>
      </c>
      <c r="D19" s="6" t="inlineStr">
        <is>
          <t>Kapsam / Not</t>
        </is>
      </c>
      <c r="E19" s="7" t="n"/>
      <c r="F19" s="8" t="n"/>
    </row>
    <row r="20">
      <c r="A20" s="9" t="inlineStr">
        <is>
          <t>ELEKTRIK</t>
        </is>
      </c>
      <c r="B20" s="10" t="n">
        <v>0.442</v>
      </c>
      <c r="C20" s="9" t="inlineStr">
        <is>
          <t>kWh</t>
        </is>
      </c>
      <c r="D20" s="5" t="inlineStr">
        <is>
          <t>Kapsam 2</t>
        </is>
      </c>
    </row>
    <row r="21">
      <c r="A21" s="9" t="inlineStr">
        <is>
          <t>DOGALGAZ</t>
        </is>
      </c>
      <c r="B21" s="10" t="n">
        <v>2.02</v>
      </c>
      <c r="C21" s="9" t="inlineStr">
        <is>
          <t>m³</t>
        </is>
      </c>
      <c r="D21" s="5" t="inlineStr">
        <is>
          <t>Kapsam 1</t>
        </is>
      </c>
    </row>
    <row r="22">
      <c r="A22" s="9" t="inlineStr">
        <is>
          <t>DIZEL</t>
        </is>
      </c>
      <c r="B22" s="10" t="n">
        <v>2.68</v>
      </c>
      <c r="C22" s="9" t="inlineStr">
        <is>
          <t>L</t>
        </is>
      </c>
      <c r="D22" s="5" t="inlineStr">
        <is>
          <t>Kapsam 1</t>
        </is>
      </c>
    </row>
    <row r="23">
      <c r="A23" s="9" t="inlineStr">
        <is>
          <t>JENERATOR_DIZEL</t>
        </is>
      </c>
      <c r="B23" s="10" t="n">
        <v>2.68</v>
      </c>
      <c r="C23" s="9" t="inlineStr">
        <is>
          <t>L</t>
        </is>
      </c>
      <c r="D23" s="5" t="inlineStr">
        <is>
          <t>Kapsam 1</t>
        </is>
      </c>
    </row>
    <row r="24">
      <c r="A24" s="9" t="inlineStr">
        <is>
          <t>BENZIN</t>
        </is>
      </c>
      <c r="B24" s="10" t="n">
        <v>2.31</v>
      </c>
      <c r="C24" s="9" t="inlineStr">
        <is>
          <t>L</t>
        </is>
      </c>
      <c r="D24" s="5" t="inlineStr">
        <is>
          <t>Kapsam 1</t>
        </is>
      </c>
    </row>
    <row r="25">
      <c r="A25" s="9" t="inlineStr">
        <is>
          <t>LPG</t>
        </is>
      </c>
      <c r="B25" s="10" t="n">
        <v>1.56</v>
      </c>
      <c r="C25" s="9" t="inlineStr">
        <is>
          <t>L</t>
        </is>
      </c>
      <c r="D25" s="5" t="inlineStr">
        <is>
          <t>Kapsam 1</t>
        </is>
      </c>
    </row>
    <row r="26">
      <c r="A26" s="9" t="inlineStr">
        <is>
          <t>CNG</t>
        </is>
      </c>
      <c r="B26" s="10" t="n">
        <v>1.9</v>
      </c>
      <c r="C26" s="9" t="inlineStr">
        <is>
          <t>m³</t>
        </is>
      </c>
      <c r="D26" s="5" t="inlineStr">
        <is>
          <t>Kapsam 1</t>
        </is>
      </c>
    </row>
    <row r="27">
      <c r="A27" s="9" t="inlineStr">
        <is>
          <t>KOMUR</t>
        </is>
      </c>
      <c r="B27" s="10" t="n">
        <v>1.08</v>
      </c>
      <c r="C27" s="9" t="inlineStr">
        <is>
          <t>kg</t>
        </is>
      </c>
      <c r="D27" s="5" t="inlineStr">
        <is>
          <t>Kapsam 1</t>
        </is>
      </c>
    </row>
    <row r="28">
      <c r="A28" s="9" t="inlineStr">
        <is>
          <t>ARAC_KM</t>
        </is>
      </c>
      <c r="B28" s="10" t="n">
        <v>0.192</v>
      </c>
      <c r="C28" s="9" t="inlineStr">
        <is>
          <t>km</t>
        </is>
      </c>
      <c r="D28" s="5" t="inlineStr">
        <is>
          <t>Kapsam 1</t>
        </is>
      </c>
    </row>
    <row r="29">
      <c r="A29" s="9" t="inlineStr">
        <is>
          <t>GES_URETIM</t>
        </is>
      </c>
      <c r="B29" s="10" t="n">
        <v>0.442</v>
      </c>
      <c r="C29" s="9" t="inlineStr">
        <is>
          <t>kWh</t>
        </is>
      </c>
      <c r="D29" s="5" t="inlineStr">
        <is>
          <t>Kapsam 2 · MAHSUP (kredi)</t>
        </is>
      </c>
    </row>
    <row r="30">
      <c r="A30" s="9" t="inlineStr">
        <is>
          <t>GES_SATIS</t>
        </is>
      </c>
      <c r="B30" s="10" t="n">
        <v>0.442</v>
      </c>
      <c r="C30" s="9" t="inlineStr">
        <is>
          <t>kWh</t>
        </is>
      </c>
      <c r="D30" s="5" t="inlineStr">
        <is>
          <t>Bilgi amaçlı (0)</t>
        </is>
      </c>
    </row>
    <row r="31">
      <c r="A31" s="9" t="inlineStr">
        <is>
          <t>ATIK</t>
        </is>
      </c>
      <c r="B31" s="10" t="n">
        <v>580</v>
      </c>
      <c r="C31" s="9" t="inlineStr">
        <is>
          <t>ton</t>
        </is>
      </c>
      <c r="D31" s="5" t="inlineStr">
        <is>
          <t>Kapsam 3</t>
        </is>
      </c>
    </row>
    <row r="32">
      <c r="A32" s="9" t="inlineStr">
        <is>
          <t>GERI_DONUSUM</t>
        </is>
      </c>
      <c r="B32" s="10" t="n">
        <v>460</v>
      </c>
      <c r="C32" s="9" t="inlineStr">
        <is>
          <t>ton</t>
        </is>
      </c>
      <c r="D32" s="5" t="inlineStr">
        <is>
          <t>Kapsam 3 · MAHSUP (kredi)</t>
        </is>
      </c>
    </row>
    <row r="33">
      <c r="A33" s="9" t="inlineStr">
        <is>
          <t>KOMPOST</t>
        </is>
      </c>
      <c r="B33" s="10" t="n">
        <v>420</v>
      </c>
      <c r="C33" s="9" t="inlineStr">
        <is>
          <t>ton</t>
        </is>
      </c>
      <c r="D33" s="5" t="inlineStr">
        <is>
          <t>Kapsam 3 · MAHSUP (kredi)</t>
        </is>
      </c>
    </row>
    <row r="34">
      <c r="A34" s="9" t="inlineStr">
        <is>
          <t>SU</t>
        </is>
      </c>
      <c r="B34" s="10" t="n">
        <v>0.344</v>
      </c>
      <c r="C34" s="9" t="inlineStr">
        <is>
          <t>m³</t>
        </is>
      </c>
      <c r="D34" s="5" t="inlineStr">
        <is>
          <t>Kapsam 3</t>
        </is>
      </c>
    </row>
    <row r="35">
      <c r="A35" s="9" t="inlineStr">
        <is>
          <t>UCUS_KM</t>
        </is>
      </c>
      <c r="B35" s="10" t="n">
        <v>0.15</v>
      </c>
      <c r="C35" s="9" t="inlineStr">
        <is>
          <t>yolcu-km</t>
        </is>
      </c>
      <c r="D35" s="5" t="inlineStr">
        <is>
          <t>Kapsam 3</t>
        </is>
      </c>
    </row>
    <row r="37">
      <c r="A37" s="3" t="inlineStr">
        <is>
          <t>Motor Sabitleri (engine.ts)</t>
        </is>
      </c>
    </row>
    <row r="38">
      <c r="A38" s="4" t="inlineStr">
        <is>
          <t>GES_KWH_PER_KWP_YIL</t>
        </is>
      </c>
      <c r="B38" s="11" t="n">
        <v>1350</v>
      </c>
      <c r="C38" s="5" t="inlineStr">
        <is>
          <t>kWh/kWp·yıl — GES üretim varsayımı</t>
        </is>
      </c>
    </row>
    <row r="39">
      <c r="A39" s="4" t="inlineStr">
        <is>
          <t>FILO_EV_NET_AZALTIM</t>
        </is>
      </c>
      <c r="B39" s="11" t="n">
        <v>0.7</v>
      </c>
      <c r="C39" s="5" t="inlineStr">
        <is>
          <t>EV dönüşümü net azaltım oranı</t>
        </is>
      </c>
    </row>
    <row r="40">
      <c r="A40" s="4" t="inlineStr">
        <is>
          <t>LED_TASARRUF_ORANI</t>
        </is>
      </c>
      <c r="B40" s="11" t="n">
        <v>0.55</v>
      </c>
      <c r="C40" s="5" t="inlineStr">
        <is>
          <t>LED aydınlatma tasarruf oranı</t>
        </is>
      </c>
    </row>
    <row r="41">
      <c r="A41" s="4" t="inlineStr">
        <is>
          <t>YALITIM_TASARRUF_ORANI</t>
        </is>
      </c>
      <c r="B41" s="11" t="n">
        <v>0.25</v>
      </c>
      <c r="C41" s="5" t="inlineStr">
        <is>
          <t>Yalıtım tasarruf oranı</t>
        </is>
      </c>
    </row>
    <row r="42">
      <c r="A42" s="4" t="inlineStr">
        <is>
          <t>KAZAN_TASARRUF_ORANI</t>
        </is>
      </c>
      <c r="B42" s="11" t="n">
        <v>0.12</v>
      </c>
      <c r="C42" s="5" t="inlineStr">
        <is>
          <t>Kazan iyileştirme tasarruf oranı</t>
        </is>
      </c>
    </row>
    <row r="43">
      <c r="A43" s="4" t="inlineStr">
        <is>
          <t>ORGANIK_ATIK_ORANI</t>
        </is>
      </c>
      <c r="B43" s="11" t="n">
        <v>0.45</v>
      </c>
      <c r="C43" s="5" t="inlineStr">
        <is>
          <t>Kompostlanabilir organik oran</t>
        </is>
      </c>
    </row>
    <row r="44">
      <c r="A44" s="4" t="inlineStr">
        <is>
          <t>KOMPOST_AZALTIM_T_PER_TON</t>
        </is>
      </c>
      <c r="B44" s="11" t="n">
        <v>0.42</v>
      </c>
      <c r="C44" s="5" t="inlineStr">
        <is>
          <t>tCO2e / ton kompost</t>
        </is>
      </c>
    </row>
    <row r="45">
      <c r="A45" s="4" t="inlineStr">
        <is>
          <t>AYRISTIRMA_AZALTIM_T_PER_TON</t>
        </is>
      </c>
      <c r="B45" s="11" t="n">
        <v>0.46</v>
      </c>
      <c r="C45" s="5" t="inlineStr">
        <is>
          <t>tCO2e / ton geri dönüşüm</t>
        </is>
      </c>
    </row>
    <row r="46">
      <c r="A46" s="4" t="inlineStr">
        <is>
          <t>GAZ_KWH_PER_M3</t>
        </is>
      </c>
      <c r="B46" s="11" t="n">
        <v>10.64</v>
      </c>
      <c r="C46" s="5" t="inlineStr">
        <is>
          <t>Doğalgaz kWh/m³ dönüşümü</t>
        </is>
      </c>
    </row>
    <row r="47">
      <c r="A47" s="4" t="inlineStr">
        <is>
          <t>KOMUR_KWH_PER_KG</t>
        </is>
      </c>
      <c r="B47" s="11" t="n">
        <v>4.8</v>
      </c>
      <c r="C47" s="5" t="inlineStr">
        <is>
          <t>Kömür kWh/kg dönüşümü</t>
        </is>
      </c>
    </row>
    <row r="48">
      <c r="A48" s="4" t="inlineStr">
        <is>
          <t>GES_CAPEX_TRY_PER_KWP</t>
        </is>
      </c>
      <c r="B48" s="11" t="n">
        <v>28000</v>
      </c>
      <c r="C48" s="5" t="inlineStr">
        <is>
          <t>GES yatırım ₺/kWp</t>
        </is>
      </c>
    </row>
    <row r="49">
      <c r="A49" s="4" t="inlineStr">
        <is>
          <t>GES_SATIS_TARIFE_TRY</t>
        </is>
      </c>
      <c r="B49" s="11" t="n">
        <v>1.8</v>
      </c>
      <c r="C49" s="5" t="inlineStr">
        <is>
          <t>GES fazla satış tarifesi ₺/kWh</t>
        </is>
      </c>
    </row>
    <row r="50">
      <c r="A50" s="4" t="inlineStr">
        <is>
          <t>EV_YAKIT_MALIYET_TASARRUFU</t>
        </is>
      </c>
      <c r="B50" s="11" t="n">
        <v>0.6</v>
      </c>
      <c r="C50" s="5" t="inlineStr">
        <is>
          <t>EV yakıt maliyet tasarruf oranı</t>
        </is>
      </c>
    </row>
  </sheetData>
  <mergeCells count="47">
    <mergeCell ref="B7:F7"/>
    <mergeCell ref="C48:F48"/>
    <mergeCell ref="D27:F27"/>
    <mergeCell ref="C39:F39"/>
    <mergeCell ref="B16:F16"/>
    <mergeCell ref="D32:F32"/>
    <mergeCell ref="A37:F37"/>
    <mergeCell ref="C38:F38"/>
    <mergeCell ref="A18:F18"/>
    <mergeCell ref="A2:F2"/>
    <mergeCell ref="B12:F12"/>
    <mergeCell ref="D28:F28"/>
    <mergeCell ref="C49:F49"/>
    <mergeCell ref="B11:F11"/>
    <mergeCell ref="A4:F4"/>
    <mergeCell ref="B14:F14"/>
    <mergeCell ref="B8:F8"/>
    <mergeCell ref="D25:F25"/>
    <mergeCell ref="D30:F30"/>
    <mergeCell ref="C42:F42"/>
    <mergeCell ref="D33:F33"/>
    <mergeCell ref="B13:F13"/>
    <mergeCell ref="D24:F24"/>
    <mergeCell ref="C45:F45"/>
    <mergeCell ref="D29:F29"/>
    <mergeCell ref="D23:F23"/>
    <mergeCell ref="B10:F10"/>
    <mergeCell ref="D35:F35"/>
    <mergeCell ref="D26:F26"/>
    <mergeCell ref="C41:F41"/>
    <mergeCell ref="C47:F47"/>
    <mergeCell ref="D20:F20"/>
    <mergeCell ref="B9:F9"/>
    <mergeCell ref="D34:F34"/>
    <mergeCell ref="C44:F44"/>
    <mergeCell ref="C50:F50"/>
    <mergeCell ref="C40:F40"/>
    <mergeCell ref="D19:F19"/>
    <mergeCell ref="B6:F6"/>
    <mergeCell ref="B15:F15"/>
    <mergeCell ref="D31:F31"/>
    <mergeCell ref="A1:F1"/>
    <mergeCell ref="C43:F43"/>
    <mergeCell ref="D22:F22"/>
    <mergeCell ref="B5:F5"/>
    <mergeCell ref="C46:F46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2" t="inlineStr">
        <is>
          <t>1 · Temel Emisyon Hesabı</t>
        </is>
      </c>
    </row>
    <row r="2" ht="30" customHeight="1">
      <c r="A2" s="2" t="inlineStr">
        <is>
          <t>kg = işaret × miktar × faktör.  İşaret: normal=+1, mahsup(kredi)=−1, bilgi amaçlı=0.  tCO2e = kg / 1000.  Kural: miktar&lt;0 veya faktör&lt;0 ise motor hata fırlatır.</t>
        </is>
      </c>
    </row>
    <row r="3">
      <c r="A3" s="2" t="inlineStr">
        <is>
          <t>Kaynak: engine.ts → computeKgCO2e, kgToTons</t>
        </is>
      </c>
    </row>
    <row r="5">
      <c r="A5" s="13" t="inlineStr">
        <is>
          <t>Kayıt (kategori)</t>
        </is>
      </c>
      <c r="B5" s="13" t="inlineStr">
        <is>
          <t>Miktar</t>
        </is>
      </c>
      <c r="C5" s="13" t="inlineStr">
        <is>
          <t>Faktör</t>
        </is>
      </c>
      <c r="D5" s="13" t="inlineStr">
        <is>
          <t>İşaret</t>
        </is>
      </c>
      <c r="E5" s="13" t="inlineStr">
        <is>
          <t>kg CO2e (canlı)</t>
        </is>
      </c>
      <c r="F5" s="13" t="inlineStr">
        <is>
          <t>tCO2e (canlı)</t>
        </is>
      </c>
      <c r="G5" s="13" t="inlineStr">
        <is>
          <t>Beklenen tCO2e</t>
        </is>
      </c>
      <c r="H5" s="13" t="inlineStr">
        <is>
          <t>KONTROL</t>
        </is>
      </c>
    </row>
    <row r="6">
      <c r="A6" s="9" t="inlineStr">
        <is>
          <t>ELEKTRIK  1.000.000 kWh</t>
        </is>
      </c>
      <c r="B6" s="14" t="n">
        <v>1000000</v>
      </c>
      <c r="C6" s="10" t="n">
        <v>0.442</v>
      </c>
      <c r="D6" s="15" t="n">
        <v>1</v>
      </c>
      <c r="E6" s="16">
        <f>D6*B6*C6</f>
        <v/>
      </c>
      <c r="F6" s="17">
        <f>E6/1000</f>
        <v/>
      </c>
      <c r="G6" s="18" t="n">
        <v>442</v>
      </c>
      <c r="H6" s="19">
        <f>IF(ABS(F6-G6)&lt;=0.001,"✓ EŞLEŞTİ","✗ FARK")</f>
        <v/>
      </c>
    </row>
    <row r="7">
      <c r="A7" s="9" t="inlineStr">
        <is>
          <t>DOGALGAZ  10.000 m³</t>
        </is>
      </c>
      <c r="B7" s="14" t="n">
        <v>10000</v>
      </c>
      <c r="C7" s="10" t="n">
        <v>2.02</v>
      </c>
      <c r="D7" s="15" t="n">
        <v>1</v>
      </c>
      <c r="E7" s="16">
        <f>D7*B7*C7</f>
        <v/>
      </c>
      <c r="F7" s="17">
        <f>E7/1000</f>
        <v/>
      </c>
      <c r="G7" s="18" t="n">
        <v>20.2</v>
      </c>
      <c r="H7" s="19">
        <f>IF(ABS(F7-G7)&lt;=0.001,"✓ EŞLEŞTİ","✗ FARK")</f>
        <v/>
      </c>
    </row>
    <row r="8">
      <c r="A8" s="9" t="inlineStr">
        <is>
          <t>DIZEL  5.000 L</t>
        </is>
      </c>
      <c r="B8" s="14" t="n">
        <v>5000</v>
      </c>
      <c r="C8" s="10" t="n">
        <v>2.68</v>
      </c>
      <c r="D8" s="15" t="n">
        <v>1</v>
      </c>
      <c r="E8" s="16">
        <f>D8*B8*C8</f>
        <v/>
      </c>
      <c r="F8" s="17">
        <f>E8/1000</f>
        <v/>
      </c>
      <c r="G8" s="18" t="n">
        <v>13.4</v>
      </c>
      <c r="H8" s="19">
        <f>IF(ABS(F8-G8)&lt;=0.001,"✓ EŞLEŞTİ","✗ FARK")</f>
        <v/>
      </c>
    </row>
    <row r="9">
      <c r="A9" s="9" t="inlineStr">
        <is>
          <t>BENZIN  2.000 L</t>
        </is>
      </c>
      <c r="B9" s="14" t="n">
        <v>2000</v>
      </c>
      <c r="C9" s="10" t="n">
        <v>2.31</v>
      </c>
      <c r="D9" s="15" t="n">
        <v>1</v>
      </c>
      <c r="E9" s="16">
        <f>D9*B9*C9</f>
        <v/>
      </c>
      <c r="F9" s="17">
        <f>E9/1000</f>
        <v/>
      </c>
      <c r="G9" s="18" t="n">
        <v>4.62</v>
      </c>
      <c r="H9" s="19">
        <f>IF(ABS(F9-G9)&lt;=0.001,"✓ EŞLEŞTİ","✗ FARK")</f>
        <v/>
      </c>
    </row>
    <row r="10">
      <c r="A10" s="9" t="inlineStr">
        <is>
          <t>KOMUR  3.000 kg</t>
        </is>
      </c>
      <c r="B10" s="14" t="n">
        <v>3000</v>
      </c>
      <c r="C10" s="10" t="n">
        <v>1.08</v>
      </c>
      <c r="D10" s="15" t="n">
        <v>1</v>
      </c>
      <c r="E10" s="16">
        <f>D10*B10*C10</f>
        <v/>
      </c>
      <c r="F10" s="17">
        <f>E10/1000</f>
        <v/>
      </c>
      <c r="G10" s="18" t="n">
        <v>3.24</v>
      </c>
      <c r="H10" s="19">
        <f>IF(ABS(F10-G10)&lt;=0.001,"✓ EŞLEŞTİ","✗ FARK")</f>
        <v/>
      </c>
    </row>
    <row r="11">
      <c r="A11" s="9" t="inlineStr">
        <is>
          <t>CNG  1.000 m³</t>
        </is>
      </c>
      <c r="B11" s="14" t="n">
        <v>1000</v>
      </c>
      <c r="C11" s="10" t="n">
        <v>1.9</v>
      </c>
      <c r="D11" s="15" t="n">
        <v>1</v>
      </c>
      <c r="E11" s="16">
        <f>D11*B11*C11</f>
        <v/>
      </c>
      <c r="F11" s="17">
        <f>E11/1000</f>
        <v/>
      </c>
      <c r="G11" s="18" t="n">
        <v>1.9</v>
      </c>
      <c r="H11" s="19">
        <f>IF(ABS(F11-G11)&lt;=0.001,"✓ EŞLEŞTİ","✗ FARK")</f>
        <v/>
      </c>
    </row>
    <row r="12">
      <c r="A12" s="9" t="inlineStr">
        <is>
          <t>SU  0 m³ (sıfır)</t>
        </is>
      </c>
      <c r="B12" s="14" t="n">
        <v>0</v>
      </c>
      <c r="C12" s="10" t="n">
        <v>0.344</v>
      </c>
      <c r="D12" s="15" t="n">
        <v>1</v>
      </c>
      <c r="E12" s="16">
        <f>D12*B12*C12</f>
        <v/>
      </c>
      <c r="F12" s="17">
        <f>E12/1000</f>
        <v/>
      </c>
      <c r="G12" s="18" t="n">
        <v>0</v>
      </c>
      <c r="H12" s="19">
        <f>IF(ABS(F12-G12)&lt;=0.001,"✓ EŞLEŞTİ","✗ FARK")</f>
        <v/>
      </c>
    </row>
    <row r="13">
      <c r="A13" s="9" t="inlineStr">
        <is>
          <t>GES_URETIM  1.000 kWh (mahsup)</t>
        </is>
      </c>
      <c r="B13" s="14" t="n">
        <v>1000</v>
      </c>
      <c r="C13" s="10" t="n">
        <v>0.442</v>
      </c>
      <c r="D13" s="15" t="n">
        <v>-1</v>
      </c>
      <c r="E13" s="16">
        <f>D13*B13*C13</f>
        <v/>
      </c>
      <c r="F13" s="17">
        <f>E13/1000</f>
        <v/>
      </c>
      <c r="G13" s="18" t="n">
        <v>-0.442</v>
      </c>
      <c r="H13" s="19">
        <f>IF(ABS(F13-G13)&lt;=0.001,"✓ EŞLEŞTİ","✗ FARK")</f>
        <v/>
      </c>
    </row>
    <row r="14">
      <c r="A14" s="9" t="inlineStr">
        <is>
          <t>GERI_DONUSUM  10 ton (mahsup)</t>
        </is>
      </c>
      <c r="B14" s="14" t="n">
        <v>10</v>
      </c>
      <c r="C14" s="10" t="n">
        <v>460</v>
      </c>
      <c r="D14" s="15" t="n">
        <v>-1</v>
      </c>
      <c r="E14" s="16">
        <f>D14*B14*C14</f>
        <v/>
      </c>
      <c r="F14" s="17">
        <f>E14/1000</f>
        <v/>
      </c>
      <c r="G14" s="18" t="n">
        <v>-4.6</v>
      </c>
      <c r="H14" s="19">
        <f>IF(ABS(F14-G14)&lt;=0.001,"✓ EŞLEŞTİ","✗ FARK")</f>
        <v/>
      </c>
    </row>
    <row r="15">
      <c r="A15" s="9" t="inlineStr">
        <is>
          <t>KOMPOST  10 ton (mahsup)</t>
        </is>
      </c>
      <c r="B15" s="14" t="n">
        <v>10</v>
      </c>
      <c r="C15" s="10" t="n">
        <v>420</v>
      </c>
      <c r="D15" s="15" t="n">
        <v>-1</v>
      </c>
      <c r="E15" s="16">
        <f>D15*B15*C15</f>
        <v/>
      </c>
      <c r="F15" s="17">
        <f>E15/1000</f>
        <v/>
      </c>
      <c r="G15" s="18" t="n">
        <v>-4.2</v>
      </c>
      <c r="H15" s="19">
        <f>IF(ABS(F15-G15)&lt;=0.001,"✓ EŞLEŞTİ","✗ FARK")</f>
        <v/>
      </c>
    </row>
    <row r="16">
      <c r="A16" s="9" t="inlineStr">
        <is>
          <t>GES_SATIS  50.000 kWh (bilgi=0)</t>
        </is>
      </c>
      <c r="B16" s="14" t="n">
        <v>50000</v>
      </c>
      <c r="C16" s="10" t="n">
        <v>0.442</v>
      </c>
      <c r="D16" s="15" t="n">
        <v>0</v>
      </c>
      <c r="E16" s="16">
        <f>D16*B16*C16</f>
        <v/>
      </c>
      <c r="F16" s="17">
        <f>E16/1000</f>
        <v/>
      </c>
      <c r="G16" s="18" t="n">
        <v>0</v>
      </c>
      <c r="H16" s="19">
        <f>IF(ABS(F16-G16)&lt;=0.001,"✓ EŞLEŞTİ","✗ FARK")</f>
        <v/>
      </c>
    </row>
    <row r="18">
      <c r="A18" s="20" t="inlineStr">
        <is>
          <t>İşaret sütunu: normal kategoriler +1, kredi kategorileri (GES_URETIM, GERI_DONUSUM, KOMPOST) −1, bilgi amaçlı (GES_SATIS) 0. Böylece mahsuplar toplam emisyondan düşülür.</t>
        </is>
      </c>
    </row>
  </sheetData>
  <mergeCells count="4">
    <mergeCell ref="A3:F3"/>
    <mergeCell ref="A2:F2"/>
    <mergeCell ref="A1:F1"/>
    <mergeCell ref="A18:H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2" t="inlineStr">
        <is>
          <t>2 · Kapsam Toplamları ve GES Mahsubu</t>
        </is>
      </c>
    </row>
    <row r="2" ht="30" customHeight="1">
      <c r="A2" s="2" t="inlineStr">
        <is>
          <t>Her AY için: Kapsam2 = MAX(0, Σscope2 + GES kredileri).  GES mahsubu negatife düşse bile ay bazında 0'da kırpılır ve BİR SONRAKİ AYA DEVRETMEZ. Toplam = K1 + K2(kırpılmış) + K3.</t>
        </is>
      </c>
    </row>
    <row r="3">
      <c r="A3" s="2" t="inlineStr">
        <is>
          <t>Kaynak: engine.ts → monthlyScopeTotals</t>
        </is>
      </c>
    </row>
    <row r="5">
      <c r="A5" s="3" t="inlineStr">
        <is>
          <t>Örnek A — Tek ayda aşırı mahsup (Kapsam 2 sıfırda kırpılır)</t>
        </is>
      </c>
    </row>
    <row r="6">
      <c r="A6" s="13" t="inlineStr">
        <is>
          <t>Ay</t>
        </is>
      </c>
      <c r="B6" s="13" t="inlineStr">
        <is>
          <t>K1 (ham)</t>
        </is>
      </c>
      <c r="C6" s="13" t="inlineStr">
        <is>
          <t>K2 ham (GES dahil)</t>
        </is>
      </c>
      <c r="D6" s="13" t="inlineStr">
        <is>
          <t>K3 (ham)</t>
        </is>
      </c>
      <c r="E6" s="13" t="inlineStr">
        <is>
          <t>K2 kırpılmış (canlı)</t>
        </is>
      </c>
      <c r="F6" s="13" t="inlineStr">
        <is>
          <t>Toplam (canlı)</t>
        </is>
      </c>
      <c r="G6" s="13" t="inlineStr">
        <is>
          <t>Beklenen toplam</t>
        </is>
      </c>
      <c r="H6" s="13" t="inlineStr">
        <is>
          <t>KONTROL</t>
        </is>
      </c>
    </row>
    <row r="7">
      <c r="A7" s="9" t="inlineStr">
        <is>
          <t>Haziran</t>
        </is>
      </c>
      <c r="B7" s="21" t="n">
        <v>40</v>
      </c>
      <c r="C7" s="21" t="n">
        <v>-30</v>
      </c>
      <c r="D7" s="21" t="n">
        <v>0</v>
      </c>
      <c r="E7" s="16">
        <f>MAX(0,C7)</f>
        <v/>
      </c>
      <c r="F7" s="16">
        <f>B7+E7+D7</f>
        <v/>
      </c>
      <c r="G7" s="22" t="n">
        <v>40</v>
      </c>
      <c r="H7" s="19">
        <f>IF(ABS(F7-G7)&lt;=0.001,"✓ EŞLEŞTİ","✗ FARK")</f>
        <v/>
      </c>
    </row>
    <row r="8">
      <c r="A8" s="9" t="inlineStr">
        <is>
          <t>Mart</t>
        </is>
      </c>
      <c r="B8" s="21" t="n">
        <v>0</v>
      </c>
      <c r="C8" s="21" t="n">
        <v>70</v>
      </c>
      <c r="D8" s="21" t="n">
        <v>0</v>
      </c>
      <c r="E8" s="16">
        <f>MAX(0,C8)</f>
        <v/>
      </c>
      <c r="F8" s="16">
        <f>B8+E8+D8</f>
        <v/>
      </c>
      <c r="G8" s="22" t="n">
        <v>70</v>
      </c>
      <c r="H8" s="19">
        <f>IF(ABS(F8-G8)&lt;=0.001,"✓ EŞLEŞTİ","✗ FARK")</f>
        <v/>
      </c>
    </row>
    <row r="10">
      <c r="A10" s="3" t="inlineStr">
        <is>
          <t>Örnek B — Aylık bağımsızlık (mahsup sonraki aya DEVRETMEZ)</t>
        </is>
      </c>
    </row>
    <row r="11">
      <c r="A11" s="9" t="inlineStr">
        <is>
          <t>Ocak K2 ham</t>
        </is>
      </c>
      <c r="B11" s="21" t="n">
        <v>-40</v>
      </c>
      <c r="C11" s="5" t="inlineStr">
        <is>
          <t>Ocak K2 kırpılmış (canlı)</t>
        </is>
      </c>
      <c r="D11" s="16">
        <f>MAX(0,B11)</f>
        <v/>
      </c>
    </row>
    <row r="12">
      <c r="A12" s="9" t="inlineStr">
        <is>
          <t>Şubat K2 ham</t>
        </is>
      </c>
      <c r="B12" s="21" t="n">
        <v>100</v>
      </c>
      <c r="C12" s="5" t="inlineStr">
        <is>
          <t>Şubat K2 kırpılmış (canlı)</t>
        </is>
      </c>
      <c r="D12" s="16">
        <f>MAX(0,B12)</f>
        <v/>
      </c>
    </row>
    <row r="13">
      <c r="A13" s="4" t="inlineStr">
        <is>
          <t>YIL K2 = Σ aylık kırpılmış</t>
        </is>
      </c>
      <c r="B13" s="16">
        <f>D11+D12</f>
        <v/>
      </c>
      <c r="C13" s="4" t="inlineStr">
        <is>
          <t>Beklenen</t>
        </is>
      </c>
      <c r="D13" s="22" t="n">
        <v>100</v>
      </c>
      <c r="E13" s="4">
        <f>IF(ABS(B13-D13)&lt;=0.001,"✓ EŞLEŞTİ","✗ FARK")</f>
        <v/>
      </c>
    </row>
    <row r="14">
      <c r="A14" s="20" t="inlineStr">
        <is>
          <t>Ocak −40 → 0 (kaybolur), Şubat +100 → 100. Yıl = 0+100 = 100. Eğer mahsup devretseydi 60 çıkardı; kırpma ay bazında yapıldığı için 100 doğru sonuçtur.</t>
        </is>
      </c>
    </row>
  </sheetData>
  <mergeCells count="6">
    <mergeCell ref="A2:F2"/>
    <mergeCell ref="A10:F10"/>
    <mergeCell ref="A14:F14"/>
    <mergeCell ref="A1:F1"/>
    <mergeCell ref="A5:F5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2" customWidth="1" min="4" max="4"/>
    <col width="48" customWidth="1" min="5" max="5"/>
    <col width="26" customWidth="1" min="6" max="6"/>
  </cols>
  <sheetData>
    <row r="1">
      <c r="A1" s="12" t="inlineStr">
        <is>
          <t>3 · Karşılaştırmalı Göstergeler</t>
        </is>
      </c>
    </row>
    <row r="2" ht="30" customHeight="1">
      <c r="A2" s="2" t="inlineStr">
        <is>
          <t>YoY = (cari−önceki)/önceki×100 (önceki≤0 → null).  Yoğunluk = toplam/payda (payda≤0 → null).  Hedef sapması = (gerçek−hedef)/hedef×100 (hedef≤0 → null).</t>
        </is>
      </c>
    </row>
    <row r="3">
      <c r="A3" s="2" t="inlineStr">
        <is>
          <t>Kaynak: engine.ts → yoyChangePct, intensityPerDenominator, targetGapPct</t>
        </is>
      </c>
    </row>
    <row r="5">
      <c r="A5" s="3" t="inlineStr">
        <is>
          <t>Girdiler</t>
        </is>
      </c>
    </row>
    <row r="6">
      <c r="A6" s="23" t="inlineStr">
        <is>
          <t>cari emisyon</t>
        </is>
      </c>
      <c r="B6" s="24" t="n">
        <v>150</v>
      </c>
      <c r="C6" s="20" t="inlineStr">
        <is>
          <t>tCO2e</t>
        </is>
      </c>
    </row>
    <row r="7">
      <c r="A7" s="23" t="inlineStr">
        <is>
          <t>önceki yıl emisyon</t>
        </is>
      </c>
      <c r="B7" s="24" t="n">
        <v>200</v>
      </c>
      <c r="C7" s="20" t="inlineStr">
        <is>
          <t>tCO2e</t>
        </is>
      </c>
    </row>
    <row r="8">
      <c r="A8" s="23" t="inlineStr">
        <is>
          <t>toplam emisyon</t>
        </is>
      </c>
      <c r="B8" s="24" t="n">
        <v>442</v>
      </c>
      <c r="C8" s="20" t="inlineStr">
        <is>
          <t>tCO2e</t>
        </is>
      </c>
    </row>
    <row r="9">
      <c r="A9" s="23" t="inlineStr">
        <is>
          <t>payda (üretim vb.)</t>
        </is>
      </c>
      <c r="B9" s="24" t="n">
        <v>400</v>
      </c>
      <c r="C9" s="20" t="inlineStr">
        <is>
          <t>birim</t>
        </is>
      </c>
    </row>
    <row r="10">
      <c r="A10" s="23" t="inlineStr">
        <is>
          <t>gerçekleşen (hedef için)</t>
        </is>
      </c>
      <c r="B10" s="24" t="n">
        <v>110</v>
      </c>
      <c r="C10" s="20" t="inlineStr">
        <is>
          <t>tCO2e</t>
        </is>
      </c>
    </row>
    <row r="11">
      <c r="A11" s="23" t="inlineStr">
        <is>
          <t>hedef</t>
        </is>
      </c>
      <c r="B11" s="24" t="n">
        <v>100</v>
      </c>
      <c r="C11" s="20" t="inlineStr">
        <is>
          <t>tCO2e</t>
        </is>
      </c>
    </row>
    <row r="13">
      <c r="A13" s="13" t="inlineStr">
        <is>
          <t>Gösterge</t>
        </is>
      </c>
      <c r="B13" s="13" t="inlineStr">
        <is>
          <t>Canlı Sonuç (formül)</t>
        </is>
      </c>
      <c r="C13" s="13" t="inlineStr">
        <is>
          <t>Beklenen</t>
        </is>
      </c>
      <c r="D13" s="13" t="inlineStr">
        <is>
          <t>KONTROL</t>
        </is>
      </c>
      <c r="E13" s="25" t="inlineStr">
        <is>
          <t>Formül (metin)</t>
        </is>
      </c>
      <c r="F13" s="13" t="inlineStr">
        <is>
          <t>Kaynak fonksiyon</t>
        </is>
      </c>
    </row>
    <row r="14">
      <c r="A14" s="23" t="inlineStr">
        <is>
          <t>YoY değişim %</t>
        </is>
      </c>
      <c r="B14" s="26">
        <f>(B6-B7)/B7*100</f>
        <v/>
      </c>
      <c r="C14" s="27" t="n">
        <v>-25</v>
      </c>
      <c r="D14" s="19">
        <f>IF(ISNUMBER(C14),IF(ABS(B14-C14)&lt;=0.01,"✓ EŞLEŞTİ","✗ FARK "&amp;TEXT(B14-C14,"0.000")),IF(EXACT(B14,C14),"✓ EŞLEŞTİ","✗ FARK"))</f>
        <v/>
      </c>
      <c r="E14" s="28" t="inlineStr">
        <is>
          <t>(B6-B7)/B7*100</t>
        </is>
      </c>
      <c r="F14" s="29" t="inlineStr">
        <is>
          <t>yoyChangePct</t>
        </is>
      </c>
    </row>
    <row r="15">
      <c r="A15" s="23" t="inlineStr">
        <is>
          <t>YoY (önceki=0 → null)</t>
        </is>
      </c>
      <c r="B15" s="17">
        <f>IF(0&lt;=0,"null",1)</f>
        <v/>
      </c>
      <c r="C15" s="30" t="inlineStr">
        <is>
          <t>null</t>
        </is>
      </c>
      <c r="D15" s="19">
        <f>IF(ISNUMBER(C15),IF(ABS(B15-C15)&lt;=0.01,"✓ EŞLEŞTİ","✗ FARK "&amp;TEXT(B15-C15,"0.000")),IF(EXACT(B15,C15),"✓ EŞLEŞTİ","✗ FARK"))</f>
        <v/>
      </c>
      <c r="E15" s="28" t="inlineStr">
        <is>
          <t>IF(0&lt;=0,"null",1)</t>
        </is>
      </c>
      <c r="F15" s="29" t="inlineStr">
        <is>
          <t>yoyChangePct</t>
        </is>
      </c>
    </row>
    <row r="16">
      <c r="A16" s="23" t="inlineStr">
        <is>
          <t>Emisyon yoğunluğu</t>
        </is>
      </c>
      <c r="B16" s="17">
        <f>B8/B9</f>
        <v/>
      </c>
      <c r="C16" s="18" t="n">
        <v>1.105</v>
      </c>
      <c r="D16" s="19">
        <f>IF(ISNUMBER(C16),IF(ABS(B16-C16)&lt;=0.01,"✓ EŞLEŞTİ","✗ FARK "&amp;TEXT(B16-C16,"0.000")),IF(EXACT(B16,C16),"✓ EŞLEŞTİ","✗ FARK"))</f>
        <v/>
      </c>
      <c r="E16" s="28" t="inlineStr">
        <is>
          <t>B8/B9</t>
        </is>
      </c>
      <c r="F16" s="29" t="inlineStr">
        <is>
          <t>intensityPerDenominator</t>
        </is>
      </c>
    </row>
    <row r="17">
      <c r="A17" s="23" t="inlineStr">
        <is>
          <t>Yoğunluk (payda=0 → null)</t>
        </is>
      </c>
      <c r="B17" s="17">
        <f>IF(0&lt;=0,"null",1)</f>
        <v/>
      </c>
      <c r="C17" s="30" t="inlineStr">
        <is>
          <t>null</t>
        </is>
      </c>
      <c r="D17" s="19">
        <f>IF(ISNUMBER(C17),IF(ABS(B17-C17)&lt;=0.01,"✓ EŞLEŞTİ","✗ FARK "&amp;TEXT(B17-C17,"0.000")),IF(EXACT(B17,C17),"✓ EŞLEŞTİ","✗ FARK"))</f>
        <v/>
      </c>
      <c r="E17" s="28" t="inlineStr">
        <is>
          <t>IF(0&lt;=0,"null",1)</t>
        </is>
      </c>
      <c r="F17" s="29" t="inlineStr">
        <is>
          <t>intensityPerDenominator</t>
        </is>
      </c>
    </row>
    <row r="18">
      <c r="A18" s="23" t="inlineStr">
        <is>
          <t>Hedef sapması % (üstünde)</t>
        </is>
      </c>
      <c r="B18" s="26">
        <f>(B10-B11)/B11*100</f>
        <v/>
      </c>
      <c r="C18" s="27" t="n">
        <v>10</v>
      </c>
      <c r="D18" s="19">
        <f>IF(ISNUMBER(C18),IF(ABS(B18-C18)&lt;=0.01,"✓ EŞLEŞTİ","✗ FARK "&amp;TEXT(B18-C18,"0.000")),IF(EXACT(B18,C18),"✓ EŞLEŞTİ","✗ FARK"))</f>
        <v/>
      </c>
      <c r="E18" s="28" t="inlineStr">
        <is>
          <t>(B10-B11)/B11*100</t>
        </is>
      </c>
      <c r="F18" s="29" t="inlineStr">
        <is>
          <t>targetGapPct</t>
        </is>
      </c>
    </row>
    <row r="19">
      <c r="A19" s="23" t="inlineStr">
        <is>
          <t>Hedef sapması % (altında)</t>
        </is>
      </c>
      <c r="B19" s="26">
        <f>(90-B11)/B11*100</f>
        <v/>
      </c>
      <c r="C19" s="27" t="n">
        <v>-10</v>
      </c>
      <c r="D19" s="19">
        <f>IF(ISNUMBER(C19),IF(ABS(B19-C19)&lt;=0.01,"✓ EŞLEŞTİ","✗ FARK "&amp;TEXT(B19-C19,"0.000")),IF(EXACT(B19,C19),"✓ EŞLEŞTİ","✗ FARK"))</f>
        <v/>
      </c>
      <c r="E19" s="28" t="inlineStr">
        <is>
          <t>(90-B11)/B11*100</t>
        </is>
      </c>
      <c r="F19" s="29" t="inlineStr">
        <is>
          <t>targetGapPct</t>
        </is>
      </c>
    </row>
  </sheetData>
  <mergeCells count="4">
    <mergeCell ref="A3:F3"/>
    <mergeCell ref="A2:F2"/>
    <mergeCell ref="A1:F1"/>
    <mergeCell ref="A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2" customWidth="1" min="4" max="4"/>
    <col width="48" customWidth="1" min="5" max="5"/>
    <col width="26" customWidth="1" min="6" max="6"/>
  </cols>
  <sheetData>
    <row r="1">
      <c r="A1" s="12" t="inlineStr">
        <is>
          <t>4 · Net-Sıfır Patikası ve Trend Projeksiyonu</t>
        </is>
      </c>
    </row>
    <row r="2" ht="30" customHeight="1">
      <c r="A2" s="2" t="inlineStr">
        <is>
          <t>Doğrusal patika: hedef(y) = baz × (1 − (y−bazYıl)/(netZeroYıl−bazYıl)).  Trend: en küçük kareler; eğim=(nΣxy−ΣxΣy)/(nΣxx−Σx²), kesişim=(Σy−eğim·Σx)/n, tahmin=MAX(0, eğim·y+kesişim).</t>
        </is>
      </c>
    </row>
    <row r="3">
      <c r="A3" s="2" t="inlineStr">
        <is>
          <t>Kaynak: engine.ts → linearNetZeroPath, trendProjection</t>
        </is>
      </c>
    </row>
    <row r="5">
      <c r="A5" s="3" t="inlineStr">
        <is>
          <t>Doğrusal Net-Sıfır Patikası</t>
        </is>
      </c>
    </row>
    <row r="6">
      <c r="A6" s="23" t="inlineStr">
        <is>
          <t>baz yıl</t>
        </is>
      </c>
      <c r="B6" s="31" t="n">
        <v>2024</v>
      </c>
      <c r="C6" s="20" t="inlineStr"/>
    </row>
    <row r="7">
      <c r="A7" s="23" t="inlineStr">
        <is>
          <t>baz emisyon</t>
        </is>
      </c>
      <c r="B7" s="31" t="n">
        <v>1000</v>
      </c>
      <c r="C7" s="20" t="inlineStr">
        <is>
          <t>tCO2e</t>
        </is>
      </c>
    </row>
    <row r="8">
      <c r="A8" s="23" t="inlineStr">
        <is>
          <t>net-sıfır yılı</t>
        </is>
      </c>
      <c r="B8" s="31" t="n">
        <v>2053</v>
      </c>
      <c r="C8" s="20" t="inlineStr"/>
    </row>
    <row r="10">
      <c r="A10" s="13" t="inlineStr">
        <is>
          <t>Yıl</t>
        </is>
      </c>
      <c r="B10" s="13" t="inlineStr">
        <is>
          <t>Canlı Sonuç (formül)</t>
        </is>
      </c>
      <c r="C10" s="13" t="inlineStr">
        <is>
          <t>Beklenen</t>
        </is>
      </c>
      <c r="D10" s="13" t="inlineStr">
        <is>
          <t>KONTROL</t>
        </is>
      </c>
      <c r="E10" s="25" t="inlineStr">
        <is>
          <t>Formül (metin)</t>
        </is>
      </c>
      <c r="F10" s="13" t="inlineStr">
        <is>
          <t>Kaynak fonksiyon</t>
        </is>
      </c>
    </row>
    <row r="11">
      <c r="A11" s="23" t="inlineStr">
        <is>
          <t>hedef(2024)</t>
        </is>
      </c>
      <c r="B11" s="17">
        <f>B7*(1-(2024-B6)/(B8-B6))</f>
        <v/>
      </c>
      <c r="C11" s="18" t="n">
        <v>1000</v>
      </c>
      <c r="D11" s="19">
        <f>IF(ISNUMBER(C11),IF(ABS(B11-C11)&lt;=0.01,"✓ EŞLEŞTİ","✗ FARK "&amp;TEXT(B11-C11,"0.000")),IF(EXACT(B11,C11),"✓ EŞLEŞTİ","✗ FARK"))</f>
        <v/>
      </c>
      <c r="E11" s="28" t="inlineStr">
        <is>
          <t>B7*(1-(2024-B6)/(B8-B6))</t>
        </is>
      </c>
      <c r="F11" s="29" t="inlineStr">
        <is>
          <t>linearNetZeroPath</t>
        </is>
      </c>
    </row>
    <row r="12">
      <c r="A12" s="23" t="inlineStr">
        <is>
          <t>hedef(2025)</t>
        </is>
      </c>
      <c r="B12" s="17">
        <f>B7*(1-(2025-B6)/(B8-B6))</f>
        <v/>
      </c>
      <c r="C12" s="18" t="n">
        <v>965.5172</v>
      </c>
      <c r="D12" s="19">
        <f>IF(ISNUMBER(C12),IF(ABS(B12-C12)&lt;=0.01,"✓ EŞLEŞTİ","✗ FARK "&amp;TEXT(B12-C12,"0.000")),IF(EXACT(B12,C12),"✓ EŞLEŞTİ","✗ FARK"))</f>
        <v/>
      </c>
      <c r="E12" s="28" t="inlineStr">
        <is>
          <t>B7*(1-(2025-B6)/(B8-B6))</t>
        </is>
      </c>
      <c r="F12" s="29" t="inlineStr">
        <is>
          <t>linearNetZeroPath</t>
        </is>
      </c>
    </row>
    <row r="13">
      <c r="A13" s="23" t="inlineStr">
        <is>
          <t>hedef(2026)</t>
        </is>
      </c>
      <c r="B13" s="17">
        <f>B7*(1-(2026-B6)/(B8-B6))</f>
        <v/>
      </c>
      <c r="C13" s="18" t="n">
        <v>931.0345</v>
      </c>
      <c r="D13" s="19">
        <f>IF(ISNUMBER(C13),IF(ABS(B13-C13)&lt;=0.01,"✓ EŞLEŞTİ","✗ FARK "&amp;TEXT(B13-C13,"0.000")),IF(EXACT(B13,C13),"✓ EŞLEŞTİ","✗ FARK"))</f>
        <v/>
      </c>
      <c r="E13" s="28" t="inlineStr">
        <is>
          <t>B7*(1-(2026-B6)/(B8-B6))</t>
        </is>
      </c>
      <c r="F13" s="29" t="inlineStr">
        <is>
          <t>linearNetZeroPath</t>
        </is>
      </c>
    </row>
    <row r="14">
      <c r="A14" s="23" t="inlineStr">
        <is>
          <t>hedef(2038)</t>
        </is>
      </c>
      <c r="B14" s="17">
        <f>B7*(1-(2038-B6)/(B8-B6))</f>
        <v/>
      </c>
      <c r="C14" s="18" t="n">
        <v>517.2414</v>
      </c>
      <c r="D14" s="19">
        <f>IF(ISNUMBER(C14),IF(ABS(B14-C14)&lt;=0.01,"✓ EŞLEŞTİ","✗ FARK "&amp;TEXT(B14-C14,"0.000")),IF(EXACT(B14,C14),"✓ EŞLEŞTİ","✗ FARK"))</f>
        <v/>
      </c>
      <c r="E14" s="28" t="inlineStr">
        <is>
          <t>B7*(1-(2038-B6)/(B8-B6))</t>
        </is>
      </c>
      <c r="F14" s="29" t="inlineStr">
        <is>
          <t>linearNetZeroPath</t>
        </is>
      </c>
    </row>
    <row r="15">
      <c r="A15" s="23" t="inlineStr">
        <is>
          <t>hedef(2053)</t>
        </is>
      </c>
      <c r="B15" s="17">
        <f>B7*(1-(2053-B6)/(B8-B6))</f>
        <v/>
      </c>
      <c r="C15" s="18" t="n">
        <v>0</v>
      </c>
      <c r="D15" s="19">
        <f>IF(ISNUMBER(C15),IF(ABS(B15-C15)&lt;=0.01,"✓ EŞLEŞTİ","✗ FARK "&amp;TEXT(B15-C15,"0.000")),IF(EXACT(B15,C15),"✓ EŞLEŞTİ","✗ FARK"))</f>
        <v/>
      </c>
      <c r="E15" s="28" t="inlineStr">
        <is>
          <t>B7*(1-(2053-B6)/(B8-B6))</t>
        </is>
      </c>
      <c r="F15" s="29" t="inlineStr">
        <is>
          <t>linearNetZeroPath</t>
        </is>
      </c>
    </row>
    <row r="17">
      <c r="A17" s="3" t="inlineStr">
        <is>
          <t>Trend Projeksiyonu — geçmiş: (2023,300) (2024,250) (2025,200)</t>
        </is>
      </c>
    </row>
    <row r="18">
      <c r="A18" s="14" t="n">
        <v>2023</v>
      </c>
      <c r="B18" s="32" t="n">
        <v>300</v>
      </c>
      <c r="C18" s="20" t="inlineStr">
        <is>
          <t>← geçmiş y değerleri (B sütunu), x = yıl (A sütunu)</t>
        </is>
      </c>
    </row>
    <row r="19">
      <c r="A19" s="14" t="n">
        <v>2024</v>
      </c>
      <c r="B19" s="32" t="n">
        <v>250</v>
      </c>
    </row>
    <row r="20">
      <c r="A20" s="14" t="n">
        <v>2025</v>
      </c>
      <c r="B20" s="32" t="n">
        <v>200</v>
      </c>
    </row>
    <row r="22">
      <c r="A22" s="13" t="inlineStr">
        <is>
          <t>Trend</t>
        </is>
      </c>
      <c r="B22" s="13" t="inlineStr">
        <is>
          <t>Canlı Sonuç (formül)</t>
        </is>
      </c>
      <c r="C22" s="13" t="inlineStr">
        <is>
          <t>Beklenen</t>
        </is>
      </c>
      <c r="D22" s="13" t="inlineStr">
        <is>
          <t>KONTROL</t>
        </is>
      </c>
      <c r="E22" s="25" t="inlineStr">
        <is>
          <t>Formül (metin)</t>
        </is>
      </c>
      <c r="F22" s="13" t="inlineStr">
        <is>
          <t>Kaynak fonksiyon</t>
        </is>
      </c>
    </row>
    <row r="23">
      <c r="A23" s="23" t="inlineStr">
        <is>
          <t>Eğim (slope)</t>
        </is>
      </c>
      <c r="B23" s="16">
        <f>SLOPE(B18:B20,A18:A20)</f>
        <v/>
      </c>
      <c r="C23" s="22" t="n">
        <v>-50</v>
      </c>
      <c r="D23" s="19">
        <f>IF(ISNUMBER(C23),IF(ABS(B23-C23)&lt;=0.01,"✓ EŞLEŞTİ","✗ FARK "&amp;TEXT(B23-C23,"0.000")),IF(EXACT(B23,C23),"✓ EŞLEŞTİ","✗ FARK"))</f>
        <v/>
      </c>
      <c r="E23" s="28" t="inlineStr">
        <is>
          <t>SLOPE(B18:B20,A18:A20)</t>
        </is>
      </c>
      <c r="F23" s="29" t="inlineStr">
        <is>
          <t>en küçük kareler</t>
        </is>
      </c>
    </row>
    <row r="24">
      <c r="A24" s="23" t="inlineStr">
        <is>
          <t>Kesişim (intercept)</t>
        </is>
      </c>
      <c r="B24" s="16">
        <f>INTERCEPT(B18:B20,A18:A20)</f>
        <v/>
      </c>
      <c r="C24" s="22" t="n">
        <v>101450</v>
      </c>
      <c r="D24" s="19">
        <f>IF(ISNUMBER(C24),IF(ABS(B24-C24)&lt;=0.01,"✓ EŞLEŞTİ","✗ FARK "&amp;TEXT(B24-C24,"0.000")),IF(EXACT(B24,C24),"✓ EŞLEŞTİ","✗ FARK"))</f>
        <v/>
      </c>
      <c r="E24" s="28" t="inlineStr">
        <is>
          <t>INTERCEPT(B18:B20,A18:A20)</t>
        </is>
      </c>
      <c r="F24" s="29" t="inlineStr">
        <is>
          <t>en küçük kareler</t>
        </is>
      </c>
    </row>
    <row r="25">
      <c r="A25" s="23" t="inlineStr">
        <is>
          <t>tahmin(2026)</t>
        </is>
      </c>
      <c r="B25" s="16">
        <f>MAX(0,SLOPE(B18:B20,A18:A20)*2026+INTERCEPT(B18:B20,A18:A20))</f>
        <v/>
      </c>
      <c r="C25" s="22" t="n">
        <v>150</v>
      </c>
      <c r="D25" s="19">
        <f>IF(ISNUMBER(C25),IF(ABS(B25-C25)&lt;=0.01,"✓ EŞLEŞTİ","✗ FARK "&amp;TEXT(B25-C25,"0.000")),IF(EXACT(B25,C25),"✓ EŞLEŞTİ","✗ FARK"))</f>
        <v/>
      </c>
      <c r="E25" s="28" t="inlineStr">
        <is>
          <t>MAX(0,SLOPE(B18:B20,A18:A20)*2026+INTERCEPT(B18:B20,A18:A20))</t>
        </is>
      </c>
      <c r="F25" s="29" t="inlineStr">
        <is>
          <t>trendProjection</t>
        </is>
      </c>
    </row>
    <row r="26">
      <c r="A26" s="23" t="inlineStr">
        <is>
          <t>tahmin(2027)</t>
        </is>
      </c>
      <c r="B26" s="16">
        <f>MAX(0,SLOPE(B18:B20,A18:A20)*2027+INTERCEPT(B18:B20,A18:A20))</f>
        <v/>
      </c>
      <c r="C26" s="22" t="n">
        <v>100</v>
      </c>
      <c r="D26" s="19">
        <f>IF(ISNUMBER(C26),IF(ABS(B26-C26)&lt;=0.01,"✓ EŞLEŞTİ","✗ FARK "&amp;TEXT(B26-C26,"0.000")),IF(EXACT(B26,C26),"✓ EŞLEŞTİ","✗ FARK"))</f>
        <v/>
      </c>
      <c r="E26" s="28" t="inlineStr">
        <is>
          <t>MAX(0,SLOPE(B18:B20,A18:A20)*2027+INTERCEPT(B18:B20,A18:A20))</t>
        </is>
      </c>
      <c r="F26" s="29" t="inlineStr">
        <is>
          <t>trendProjection</t>
        </is>
      </c>
    </row>
    <row r="27">
      <c r="A27" s="23" t="inlineStr">
        <is>
          <t>tahmin(2030)</t>
        </is>
      </c>
      <c r="B27" s="16">
        <f>MAX(0,SLOPE(B18:B20,A18:A20)*2030+INTERCEPT(B18:B20,A18:A20))</f>
        <v/>
      </c>
      <c r="C27" s="22" t="n">
        <v>0</v>
      </c>
      <c r="D27" s="19">
        <f>IF(ISNUMBER(C27),IF(ABS(B27-C27)&lt;=0.01,"✓ EŞLEŞTİ","✗ FARK "&amp;TEXT(B27-C27,"0.000")),IF(EXACT(B27,C27),"✓ EŞLEŞTİ","✗ FARK"))</f>
        <v/>
      </c>
      <c r="E27" s="28" t="inlineStr">
        <is>
          <t>MAX(0,SLOPE(B18:B20,A18:A20)*2030+INTERCEPT(B18:B20,A18:A20))</t>
        </is>
      </c>
      <c r="F27" s="29" t="inlineStr">
        <is>
          <t>trendProjection</t>
        </is>
      </c>
    </row>
    <row r="28">
      <c r="A28" s="23" t="inlineStr">
        <is>
          <t>tahmin(2032)</t>
        </is>
      </c>
      <c r="B28" s="16">
        <f>MAX(0,SLOPE(B18:B20,A18:A20)*2032+INTERCEPT(B18:B20,A18:A20))</f>
        <v/>
      </c>
      <c r="C28" s="22" t="n">
        <v>0</v>
      </c>
      <c r="D28" s="19">
        <f>IF(ISNUMBER(C28),IF(ABS(B28-C28)&lt;=0.01,"✓ EŞLEŞTİ","✗ FARK "&amp;TEXT(B28-C28,"0.000")),IF(EXACT(B28,C28),"✓ EŞLEŞTİ","✗ FARK"))</f>
        <v/>
      </c>
      <c r="E28" s="28" t="inlineStr">
        <is>
          <t>MAX(0,SLOPE(B18:B20,A18:A20)*2032+INTERCEPT(B18:B20,A18:A20))</t>
        </is>
      </c>
      <c r="F28" s="29" t="inlineStr">
        <is>
          <t>trendProjection</t>
        </is>
      </c>
    </row>
    <row r="30">
      <c r="A30" s="20" t="inlineStr">
        <is>
          <t>Eğim −50/yıl (300→200, 2 yıl). 2030 ve sonrası negatif çıktığından MAX(0,…) ile 0'a kırpılır.</t>
        </is>
      </c>
    </row>
  </sheetData>
  <mergeCells count="6">
    <mergeCell ref="A2:F2"/>
    <mergeCell ref="A1:F1"/>
    <mergeCell ref="A5:F5"/>
    <mergeCell ref="A17:F17"/>
    <mergeCell ref="A3:F3"/>
    <mergeCell ref="A30:F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2" t="inlineStr">
        <is>
          <t>5 · Senaryo Yıllık Azaltım (tCO2e)</t>
        </is>
      </c>
    </row>
    <row r="2" ht="30" customHeight="1">
      <c r="A2" s="2" t="inlineStr">
        <is>
          <t>pct(v)=MIN(100,MAX(0,v))/100.  GES=kWp×1350×fEl/1000; Bina=binaT×pct; Filo=filoT×pct×0.70; LED=kWh×pct×0.55×fEl/1000; Kompost=atıkT×0.45×pct×0.42; Ayrıştırma=atıkT×0.55×pct×0.46.  Yalıtım/Kazan ve Filo/Toplu çiftleri clampPair ile üst sınıra kırpılır.</t>
        </is>
      </c>
    </row>
    <row r="3">
      <c r="A3" s="2" t="inlineStr">
        <is>
          <t>Kaynak: engine.ts → scenarioAnnualSavings, clampPair</t>
        </is>
      </c>
    </row>
    <row r="5">
      <c r="A5" s="3" t="inlineStr">
        <is>
          <t>Bağlam (context) girdileri</t>
        </is>
      </c>
    </row>
    <row r="6">
      <c r="A6" s="23" t="inlineStr">
        <is>
          <t>fEl — elektrik faktörü</t>
        </is>
      </c>
      <c r="B6" s="24" t="n">
        <v>0.442</v>
      </c>
      <c r="C6" s="20" t="inlineStr">
        <is>
          <t>kg/kWh</t>
        </is>
      </c>
    </row>
    <row r="7">
      <c r="A7" s="23" t="inlineStr">
        <is>
          <t>filoTCO2e</t>
        </is>
      </c>
      <c r="B7" s="31" t="n">
        <v>200</v>
      </c>
      <c r="C7" s="20" t="inlineStr">
        <is>
          <t>tCO2e</t>
        </is>
      </c>
    </row>
    <row r="8">
      <c r="A8" s="23" t="inlineStr">
        <is>
          <t>binaEnerjiTCO2e</t>
        </is>
      </c>
      <c r="B8" s="31" t="n">
        <v>600</v>
      </c>
      <c r="C8" s="20" t="inlineStr">
        <is>
          <t>tCO2e</t>
        </is>
      </c>
    </row>
    <row r="9">
      <c r="A9" s="23" t="inlineStr">
        <is>
          <t>aydinlatmaKwh</t>
        </is>
      </c>
      <c r="B9" s="31" t="n">
        <v>1000000</v>
      </c>
      <c r="C9" s="20" t="inlineStr">
        <is>
          <t>kWh</t>
        </is>
      </c>
    </row>
    <row r="10">
      <c r="A10" s="23" t="inlineStr">
        <is>
          <t>dogalgazTCO2e</t>
        </is>
      </c>
      <c r="B10" s="31" t="n">
        <v>300</v>
      </c>
      <c r="C10" s="20" t="inlineStr">
        <is>
          <t>tCO2e</t>
        </is>
      </c>
    </row>
    <row r="11">
      <c r="A11" s="23" t="inlineStr">
        <is>
          <t>atikTon</t>
        </is>
      </c>
      <c r="B11" s="31" t="n">
        <v>1000</v>
      </c>
      <c r="C11" s="20" t="inlineStr">
        <is>
          <t>ton</t>
        </is>
      </c>
    </row>
    <row r="12">
      <c r="A12" s="23" t="inlineStr">
        <is>
          <t>kWh/kWp·yıl sabiti</t>
        </is>
      </c>
      <c r="B12" s="31" t="n">
        <v>1350</v>
      </c>
      <c r="C12" s="20" t="inlineStr"/>
    </row>
    <row r="14">
      <c r="A14" s="3" t="inlineStr">
        <is>
          <t>Kaldıraçlar (izole)</t>
        </is>
      </c>
    </row>
    <row r="15">
      <c r="A15" s="13" t="inlineStr">
        <is>
          <t>Kaldıraç / girdi</t>
        </is>
      </c>
      <c r="B15" s="13" t="inlineStr">
        <is>
          <t>Canlı Sonuç (formül)</t>
        </is>
      </c>
      <c r="C15" s="13" t="inlineStr">
        <is>
          <t>Beklenen</t>
        </is>
      </c>
      <c r="D15" s="13" t="inlineStr">
        <is>
          <t>KONTROL</t>
        </is>
      </c>
      <c r="E15" s="25" t="inlineStr">
        <is>
          <t>Formül (metin)</t>
        </is>
      </c>
      <c r="F15" s="13" t="inlineStr">
        <is>
          <t>Kaynak fonksiyon</t>
        </is>
      </c>
    </row>
    <row r="16">
      <c r="A16" s="23" t="inlineStr">
        <is>
          <t>GES — 1000 kWp</t>
        </is>
      </c>
      <c r="B16" s="17">
        <f>1000*B12*B6/1000</f>
        <v/>
      </c>
      <c r="C16" s="18" t="n">
        <v>596.7</v>
      </c>
      <c r="D16" s="19">
        <f>IF(ISNUMBER(C16),IF(ABS(B16-C16)&lt;=0.01,"✓ EŞLEŞTİ","✗ FARK "&amp;TEXT(B16-C16,"0.000")),IF(EXACT(B16,C16),"✓ EŞLEŞTİ","✗ FARK"))</f>
        <v/>
      </c>
      <c r="E16" s="28" t="inlineStr">
        <is>
          <t>1000*B12*B6/1000</t>
        </is>
      </c>
      <c r="F16" s="29" t="inlineStr">
        <is>
          <t>scenarioAnnualSavings</t>
        </is>
      </c>
    </row>
    <row r="17">
      <c r="A17" s="23" t="inlineStr">
        <is>
          <t>Bina — %10</t>
        </is>
      </c>
      <c r="B17" s="17">
        <f>B8*MIN(100,MAX(0,10))/100</f>
        <v/>
      </c>
      <c r="C17" s="18" t="n">
        <v>60</v>
      </c>
      <c r="D17" s="19">
        <f>IF(ISNUMBER(C17),IF(ABS(B17-C17)&lt;=0.01,"✓ EŞLEŞTİ","✗ FARK "&amp;TEXT(B17-C17,"0.000")),IF(EXACT(B17,C17),"✓ EŞLEŞTİ","✗ FARK"))</f>
        <v/>
      </c>
      <c r="E17" s="28" t="inlineStr">
        <is>
          <t>B8*MIN(100,MAX(0,10))/100</t>
        </is>
      </c>
      <c r="F17" s="29" t="inlineStr">
        <is>
          <t>scenarioAnnualSavings</t>
        </is>
      </c>
    </row>
    <row r="18">
      <c r="A18" s="23" t="inlineStr">
        <is>
          <t>Filo — %50 (×0.70)</t>
        </is>
      </c>
      <c r="B18" s="17">
        <f>B7*MIN(100,MAX(0,50))/100*0.7</f>
        <v/>
      </c>
      <c r="C18" s="18" t="n">
        <v>70</v>
      </c>
      <c r="D18" s="19">
        <f>IF(ISNUMBER(C18),IF(ABS(B18-C18)&lt;=0.01,"✓ EŞLEŞTİ","✗ FARK "&amp;TEXT(B18-C18,"0.000")),IF(EXACT(B18,C18),"✓ EŞLEŞTİ","✗ FARK"))</f>
        <v/>
      </c>
      <c r="E18" s="28" t="inlineStr">
        <is>
          <t>B7*MIN(100,MAX(0,50))/100*0.7</t>
        </is>
      </c>
      <c r="F18" s="29" t="inlineStr">
        <is>
          <t>scenarioAnnualSavings</t>
        </is>
      </c>
    </row>
    <row r="19">
      <c r="A19" s="23" t="inlineStr">
        <is>
          <t>LED — %100 (×0.55)</t>
        </is>
      </c>
      <c r="B19" s="17">
        <f>B9*MIN(100,MAX(0,100))/100*0.55*B6/1000</f>
        <v/>
      </c>
      <c r="C19" s="18" t="n">
        <v>243.1</v>
      </c>
      <c r="D19" s="19">
        <f>IF(ISNUMBER(C19),IF(ABS(B19-C19)&lt;=0.01,"✓ EŞLEŞTİ","✗ FARK "&amp;TEXT(B19-C19,"0.000")),IF(EXACT(B19,C19),"✓ EŞLEŞTİ","✗ FARK"))</f>
        <v/>
      </c>
      <c r="E19" s="28" t="inlineStr">
        <is>
          <t>B9*MIN(100,MAX(0,100))/100*0.55*B6/1000</t>
        </is>
      </c>
      <c r="F19" s="29" t="inlineStr">
        <is>
          <t>scenarioAnnualSavings</t>
        </is>
      </c>
    </row>
    <row r="20">
      <c r="A20" s="23" t="inlineStr">
        <is>
          <t>Kompost — %50</t>
        </is>
      </c>
      <c r="B20" s="17">
        <f>B11*0.45*MIN(100,MAX(0,50))/100*0.42</f>
        <v/>
      </c>
      <c r="C20" s="18" t="n">
        <v>94.5</v>
      </c>
      <c r="D20" s="19">
        <f>IF(ISNUMBER(C20),IF(ABS(B20-C20)&lt;=0.01,"✓ EŞLEŞTİ","✗ FARK "&amp;TEXT(B20-C20,"0.000")),IF(EXACT(B20,C20),"✓ EŞLEŞTİ","✗ FARK"))</f>
        <v/>
      </c>
      <c r="E20" s="28" t="inlineStr">
        <is>
          <t>B11*0.45*MIN(100,MAX(0,50))/100*0.42</t>
        </is>
      </c>
      <c r="F20" s="29" t="inlineStr">
        <is>
          <t>scenarioAnnualSavings</t>
        </is>
      </c>
    </row>
    <row r="21">
      <c r="A21" s="23" t="inlineStr">
        <is>
          <t>Ayrıştırma — %50</t>
        </is>
      </c>
      <c r="B21" s="17">
        <f>B11*0.55*MIN(100,MAX(0,50))/100*0.46</f>
        <v/>
      </c>
      <c r="C21" s="18" t="n">
        <v>126.5</v>
      </c>
      <c r="D21" s="19">
        <f>IF(ISNUMBER(C21),IF(ABS(B21-C21)&lt;=0.01,"✓ EŞLEŞTİ","✗ FARK "&amp;TEXT(B21-C21,"0.000")),IF(EXACT(B21,C21),"✓ EŞLEŞTİ","✗ FARK"))</f>
        <v/>
      </c>
      <c r="E21" s="28" t="inlineStr">
        <is>
          <t>B11*0.55*MIN(100,MAX(0,50))/100*0.46</t>
        </is>
      </c>
      <c r="F21" s="29" t="inlineStr">
        <is>
          <t>scenarioAnnualSavings</t>
        </is>
      </c>
    </row>
    <row r="23">
      <c r="A23" s="3" t="inlineStr">
        <is>
          <t>clampPair — Yalıtım + Kazan (üst sınır = dogalgazTCO2e = 300)</t>
        </is>
      </c>
    </row>
    <row r="24">
      <c r="A24" s="13" t="inlineStr"/>
      <c r="B24" s="13" t="inlineStr">
        <is>
          <t>Yalıtım ham</t>
        </is>
      </c>
      <c r="C24" s="13" t="inlineStr">
        <is>
          <t>Kazan ham</t>
        </is>
      </c>
      <c r="D24" s="13" t="inlineStr">
        <is>
          <t>Toplam</t>
        </is>
      </c>
      <c r="E24" s="13" t="inlineStr">
        <is>
          <t>Üst sınır</t>
        </is>
      </c>
      <c r="F24" s="13" t="inlineStr">
        <is>
          <t>k çarpanı</t>
        </is>
      </c>
      <c r="G24" s="13" t="inlineStr">
        <is>
          <t>Yalıtım son</t>
        </is>
      </c>
      <c r="H24" s="13" t="inlineStr">
        <is>
          <t>Kazan son</t>
        </is>
      </c>
      <c r="I24" s="13" t="inlineStr">
        <is>
          <t>Bekl. Yalıtım son</t>
        </is>
      </c>
      <c r="J24" s="13" t="inlineStr">
        <is>
          <t>Bekl. Kazan son</t>
        </is>
      </c>
      <c r="K24" s="13" t="inlineStr">
        <is>
          <t>KONTROL</t>
        </is>
      </c>
    </row>
    <row r="25">
      <c r="A25" s="33" t="inlineStr">
        <is>
          <t>%100 / %100</t>
        </is>
      </c>
      <c r="B25" s="16">
        <f>B10*1*0.25</f>
        <v/>
      </c>
      <c r="C25" s="16">
        <f>B10*1*0.12</f>
        <v/>
      </c>
      <c r="D25" s="21">
        <f>B25+C25</f>
        <v/>
      </c>
      <c r="E25" s="21">
        <f>B10</f>
        <v/>
      </c>
      <c r="F25" s="10">
        <f>IF(OR(D25&lt;=E25,D25&lt;=0),1,E25/D25)</f>
        <v/>
      </c>
      <c r="G25" s="16">
        <f>B25*F25</f>
        <v/>
      </c>
      <c r="H25" s="16">
        <f>C25*F25</f>
        <v/>
      </c>
      <c r="I25" s="22" t="n">
        <v>75</v>
      </c>
      <c r="J25" s="22" t="n">
        <v>36</v>
      </c>
      <c r="K25" s="19">
        <f>IF(AND(ABS(G25-I25)&lt;=0.01,ABS(H25-J25)&lt;=0.01),"✓ EŞLEŞTİ","✗ FARK")</f>
        <v/>
      </c>
    </row>
    <row r="26">
      <c r="A26" s="20" t="inlineStr">
        <is>
          <t>Yalıtım=300×0.25=75, Kazan=300×0.12=36. Toplam 111 ≤ 300 üst sınır → kırpma yok (k=1).</t>
        </is>
      </c>
    </row>
    <row r="28">
      <c r="A28" s="3" t="inlineStr">
        <is>
          <t>clampPair — Filo(%100)+Toplu(%100) (üst sınır = filoTCO2e = 200 → KIRPILIR)</t>
        </is>
      </c>
    </row>
    <row r="29">
      <c r="A29" s="13" t="inlineStr"/>
      <c r="B29" s="13" t="inlineStr">
        <is>
          <t>Filo ham</t>
        </is>
      </c>
      <c r="C29" s="13" t="inlineStr">
        <is>
          <t>Toplu ham</t>
        </is>
      </c>
      <c r="D29" s="13" t="inlineStr">
        <is>
          <t>Toplam</t>
        </is>
      </c>
      <c r="E29" s="13" t="inlineStr">
        <is>
          <t>Üst sınır</t>
        </is>
      </c>
      <c r="F29" s="13" t="inlineStr">
        <is>
          <t>k çarpanı</t>
        </is>
      </c>
      <c r="G29" s="13" t="inlineStr">
        <is>
          <t>Filo son</t>
        </is>
      </c>
      <c r="H29" s="13" t="inlineStr">
        <is>
          <t>Toplu son</t>
        </is>
      </c>
      <c r="I29" s="13" t="inlineStr">
        <is>
          <t>Bekl. Filo son</t>
        </is>
      </c>
      <c r="J29" s="13" t="inlineStr">
        <is>
          <t>Bekl. Toplu son</t>
        </is>
      </c>
      <c r="K29" s="13" t="inlineStr">
        <is>
          <t>KONTROL</t>
        </is>
      </c>
    </row>
    <row r="30">
      <c r="A30" s="33" t="inlineStr">
        <is>
          <t>%100 / %100</t>
        </is>
      </c>
      <c r="B30" s="17">
        <f>B7*1*0.7</f>
        <v/>
      </c>
      <c r="C30" s="17">
        <f>B7*1</f>
        <v/>
      </c>
      <c r="D30" s="10">
        <f>B30+C30</f>
        <v/>
      </c>
      <c r="E30" s="10">
        <f>B7</f>
        <v/>
      </c>
      <c r="F30" s="10">
        <f>IF(OR(D30&lt;=E30,D30&lt;=0),1,E30/D30)</f>
        <v/>
      </c>
      <c r="G30" s="17">
        <f>B30*F30</f>
        <v/>
      </c>
      <c r="H30" s="17">
        <f>C30*F30</f>
        <v/>
      </c>
      <c r="I30" s="18" t="n">
        <v>82.35290000000001</v>
      </c>
      <c r="J30" s="18" t="n">
        <v>117.6471</v>
      </c>
      <c r="K30" s="19">
        <f>IF(AND(ABS(G30-I30)&lt;=0.01,ABS(H30-J30)&lt;=0.01),"✓ EŞLEŞTİ","✗ FARK")</f>
        <v/>
      </c>
    </row>
    <row r="31">
      <c r="A31" s="20" t="inlineStr">
        <is>
          <t>Ham toplam 140+200=340 &gt; 200 → k=200/340=0.5882; Filo=82.35, Toplu=117.65, toplam tam 200.</t>
        </is>
      </c>
    </row>
  </sheetData>
  <mergeCells count="9">
    <mergeCell ref="A2:F2"/>
    <mergeCell ref="A28:F28"/>
    <mergeCell ref="A26:K26"/>
    <mergeCell ref="A14:F14"/>
    <mergeCell ref="A1:F1"/>
    <mergeCell ref="A5:F5"/>
    <mergeCell ref="A23:F23"/>
    <mergeCell ref="A3:F3"/>
    <mergeCell ref="A31:K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2" customWidth="1" min="4" max="4"/>
    <col width="48" customWidth="1" min="5" max="5"/>
    <col width="26" customWidth="1" min="6" max="6"/>
  </cols>
  <sheetData>
    <row r="1">
      <c r="A1" s="12" t="inlineStr">
        <is>
          <t>6 · Senaryo Yıllık Tasarruf (₺)</t>
        </is>
      </c>
    </row>
    <row r="2" ht="30" customHeight="1">
      <c r="A2" s="2" t="inlineStr">
        <is>
          <t>GES₺=kWp×1350×elFiyat; LED₺=kWh×pct×0.55×elFiyat; Gaz₺=(yalıtım+kazan)×1000/gazFaktör×gazFiyat; Filo₺=filoL×dizelFiyat×0.60+topluL×dizelFiyat; Atık₺=saptırılanTon×bertarafFiyat.</t>
        </is>
      </c>
    </row>
    <row r="3">
      <c r="A3" s="2" t="inlineStr">
        <is>
          <t>Kaynak: engine.ts → scenarioAnnualSavingsTRY</t>
        </is>
      </c>
    </row>
    <row r="5">
      <c r="A5" s="3" t="inlineStr">
        <is>
          <t>Girdiler ve fiyatlar</t>
        </is>
      </c>
    </row>
    <row r="6">
      <c r="A6" s="23" t="inlineStr">
        <is>
          <t>GES kWp</t>
        </is>
      </c>
      <c r="B6" s="31" t="n">
        <v>100</v>
      </c>
      <c r="C6" s="20" t="inlineStr">
        <is>
          <t>kWp</t>
        </is>
      </c>
    </row>
    <row r="7">
      <c r="A7" s="23" t="inlineStr">
        <is>
          <t>aydinlatmaKwh</t>
        </is>
      </c>
      <c r="B7" s="31" t="n">
        <v>1000000</v>
      </c>
      <c r="C7" s="20" t="inlineStr">
        <is>
          <t>kWh</t>
        </is>
      </c>
    </row>
    <row r="8">
      <c r="A8" s="23" t="inlineStr">
        <is>
          <t>LED %</t>
        </is>
      </c>
      <c r="B8" s="31" t="n">
        <v>10</v>
      </c>
      <c r="C8" s="20" t="inlineStr">
        <is>
          <t>%</t>
        </is>
      </c>
    </row>
    <row r="9">
      <c r="A9" s="23" t="inlineStr">
        <is>
          <t>elektrik fiyatı</t>
        </is>
      </c>
      <c r="B9" s="34" t="n">
        <v>4</v>
      </c>
      <c r="C9" s="20" t="inlineStr">
        <is>
          <t>₺/kWh</t>
        </is>
      </c>
    </row>
    <row r="10">
      <c r="A10" s="23" t="inlineStr">
        <is>
          <t>kWh/kWp·yıl sabiti</t>
        </is>
      </c>
      <c r="B10" s="31" t="n">
        <v>1350</v>
      </c>
      <c r="C10" s="20" t="inlineStr"/>
    </row>
    <row r="12">
      <c r="A12" s="13" t="inlineStr">
        <is>
          <t>Gösterge</t>
        </is>
      </c>
      <c r="B12" s="13" t="inlineStr">
        <is>
          <t>Canlı Sonuç (formül)</t>
        </is>
      </c>
      <c r="C12" s="13" t="inlineStr">
        <is>
          <t>Beklenen</t>
        </is>
      </c>
      <c r="D12" s="13" t="inlineStr">
        <is>
          <t>KONTROL</t>
        </is>
      </c>
      <c r="E12" s="25" t="inlineStr">
        <is>
          <t>Formül (metin)</t>
        </is>
      </c>
      <c r="F12" s="13" t="inlineStr">
        <is>
          <t>Kaynak fonksiyon</t>
        </is>
      </c>
    </row>
    <row r="13">
      <c r="A13" s="23" t="inlineStr">
        <is>
          <t>GES tasarrufu ₺</t>
        </is>
      </c>
      <c r="B13" s="35">
        <f>B6*B10*B9</f>
        <v/>
      </c>
      <c r="C13" s="36" t="n">
        <v>540000</v>
      </c>
      <c r="D13" s="19">
        <f>IF(ISNUMBER(C13),IF(ABS(B13-C13)&lt;=0.01,"✓ EŞLEŞTİ","✗ FARK "&amp;TEXT(B13-C13,"0.000")),IF(EXACT(B13,C13),"✓ EŞLEŞTİ","✗ FARK"))</f>
        <v/>
      </c>
      <c r="E13" s="28" t="inlineStr">
        <is>
          <t>B6*B10*B9</t>
        </is>
      </c>
      <c r="F13" s="29" t="inlineStr">
        <is>
          <t>scenarioAnnualSavingsTRY</t>
        </is>
      </c>
    </row>
    <row r="14">
      <c r="A14" s="23" t="inlineStr">
        <is>
          <t>LED tasarrufu ₺</t>
        </is>
      </c>
      <c r="B14" s="35">
        <f>B7*MIN(100,MAX(0,B8))/100*0.55*B9</f>
        <v/>
      </c>
      <c r="C14" s="36" t="n">
        <v>220000</v>
      </c>
      <c r="D14" s="19">
        <f>IF(ISNUMBER(C14),IF(ABS(B14-C14)&lt;=0.01,"✓ EŞLEŞTİ","✗ FARK "&amp;TEXT(B14-C14,"0.000")),IF(EXACT(B14,C14),"✓ EŞLEŞTİ","✗ FARK"))</f>
        <v/>
      </c>
      <c r="E14" s="28" t="inlineStr">
        <is>
          <t>B7*MIN(100,MAX(0,B8))/100*0.55*B9</t>
        </is>
      </c>
      <c r="F14" s="29" t="inlineStr">
        <is>
          <t>scenarioAnnualSavingsTRY</t>
        </is>
      </c>
    </row>
    <row r="16">
      <c r="A16" s="3" t="inlineStr">
        <is>
          <t>Gaz / Filo / Atık ₺ — faktör dönüşümleri</t>
        </is>
      </c>
    </row>
    <row r="17">
      <c r="A17" s="23" t="inlineStr">
        <is>
          <t>yalıtım tCO2e (örnek)</t>
        </is>
      </c>
      <c r="B17" s="31" t="n">
        <v>75</v>
      </c>
      <c r="C17" s="20" t="inlineStr">
        <is>
          <t>tCO2e</t>
        </is>
      </c>
    </row>
    <row r="18">
      <c r="A18" s="23" t="inlineStr">
        <is>
          <t>kazan tCO2e (örnek)</t>
        </is>
      </c>
      <c r="B18" s="31" t="n">
        <v>36</v>
      </c>
      <c r="C18" s="20" t="inlineStr">
        <is>
          <t>tCO2e</t>
        </is>
      </c>
    </row>
    <row r="19">
      <c r="A19" s="23" t="inlineStr">
        <is>
          <t>gaz faktörü</t>
        </is>
      </c>
      <c r="B19" s="24" t="n">
        <v>2.02</v>
      </c>
      <c r="C19" s="20" t="inlineStr">
        <is>
          <t>kg/m³</t>
        </is>
      </c>
    </row>
    <row r="20">
      <c r="A20" s="23" t="inlineStr">
        <is>
          <t>gaz fiyatı</t>
        </is>
      </c>
      <c r="B20" s="34" t="n">
        <v>17</v>
      </c>
      <c r="C20" s="20" t="inlineStr">
        <is>
          <t>₺/m³</t>
        </is>
      </c>
    </row>
    <row r="21">
      <c r="A21" s="23" t="inlineStr">
        <is>
          <t>filo tCO2e (azaltım)</t>
        </is>
      </c>
      <c r="B21" s="31" t="n">
        <v>70</v>
      </c>
      <c r="C21" s="20" t="inlineStr">
        <is>
          <t>tCO2e</t>
        </is>
      </c>
    </row>
    <row r="22">
      <c r="A22" s="23" t="inlineStr">
        <is>
          <t>toplu taşıma tCO2e</t>
        </is>
      </c>
      <c r="B22" s="31" t="n">
        <v>40</v>
      </c>
      <c r="C22" s="20" t="inlineStr">
        <is>
          <t>tCO2e</t>
        </is>
      </c>
    </row>
    <row r="23">
      <c r="A23" s="23" t="inlineStr">
        <is>
          <t>dizel faktörü</t>
        </is>
      </c>
      <c r="B23" s="24" t="n">
        <v>2.68</v>
      </c>
      <c r="C23" s="20" t="inlineStr">
        <is>
          <t>kg/L</t>
        </is>
      </c>
    </row>
    <row r="24">
      <c r="A24" s="23" t="inlineStr">
        <is>
          <t>dizel fiyatı</t>
        </is>
      </c>
      <c r="B24" s="34" t="n">
        <v>52</v>
      </c>
      <c r="C24" s="20" t="inlineStr">
        <is>
          <t>₺/L</t>
        </is>
      </c>
    </row>
    <row r="25">
      <c r="A25" s="23" t="inlineStr">
        <is>
          <t>saptırılan atık</t>
        </is>
      </c>
      <c r="B25" s="31" t="n">
        <v>500</v>
      </c>
      <c r="C25" s="20" t="inlineStr">
        <is>
          <t>ton</t>
        </is>
      </c>
    </row>
    <row r="26">
      <c r="A26" s="23" t="inlineStr">
        <is>
          <t>bertaraf fiyatı</t>
        </is>
      </c>
      <c r="B26" s="31" t="n">
        <v>850</v>
      </c>
      <c r="C26" s="20" t="inlineStr">
        <is>
          <t>₺/ton</t>
        </is>
      </c>
    </row>
    <row r="28">
      <c r="A28" s="13" t="inlineStr">
        <is>
          <t>Gösterge</t>
        </is>
      </c>
      <c r="B28" s="13" t="inlineStr">
        <is>
          <t>Canlı Sonuç (formül)</t>
        </is>
      </c>
      <c r="C28" s="13" t="inlineStr">
        <is>
          <t>Beklenen</t>
        </is>
      </c>
      <c r="D28" s="13" t="inlineStr">
        <is>
          <t>KONTROL</t>
        </is>
      </c>
      <c r="E28" s="25" t="inlineStr">
        <is>
          <t>Formül (metin)</t>
        </is>
      </c>
      <c r="F28" s="13" t="inlineStr">
        <is>
          <t>Kaynak fonksiyon</t>
        </is>
      </c>
    </row>
    <row r="29">
      <c r="A29" s="23" t="inlineStr">
        <is>
          <t>Gaz tasarrufu ₺</t>
        </is>
      </c>
      <c r="B29" s="35">
        <f>(B17+B18)*1000/B19*B20</f>
        <v/>
      </c>
      <c r="C29" s="36" t="n">
        <v>934158.42</v>
      </c>
      <c r="D29" s="19">
        <f>IF(ISNUMBER(C29),IF(ABS(B29-C29)&lt;=0.01,"✓ EŞLEŞTİ","✗ FARK "&amp;TEXT(B29-C29,"0.000")),IF(EXACT(B29,C29),"✓ EŞLEŞTİ","✗ FARK"))</f>
        <v/>
      </c>
      <c r="E29" s="28" t="inlineStr">
        <is>
          <t>(B17+B18)*1000/B19*B20</t>
        </is>
      </c>
      <c r="F29" s="29" t="inlineStr">
        <is>
          <t>scenarioAnnualSavingsTRY</t>
        </is>
      </c>
    </row>
    <row r="30">
      <c r="A30" s="23" t="inlineStr">
        <is>
          <t>Filo+Toplu tasarrufu ₺</t>
        </is>
      </c>
      <c r="B30" s="35">
        <f>(B21/0.7)*1000/B23*B24*0.6+B22*1000/B23*B24</f>
        <v/>
      </c>
      <c r="C30" s="36" t="n">
        <v>1940298.51</v>
      </c>
      <c r="D30" s="19">
        <f>IF(ISNUMBER(C30),IF(ABS(B30-C30)&lt;=0.01,"✓ EŞLEŞTİ","✗ FARK "&amp;TEXT(B30-C30,"0.000")),IF(EXACT(B30,C30),"✓ EŞLEŞTİ","✗ FARK"))</f>
        <v/>
      </c>
      <c r="E30" s="28" t="inlineStr">
        <is>
          <t>(B21/0.7)*1000/B23*B24*0.6+B22*1000/B23*B24</t>
        </is>
      </c>
      <c r="F30" s="29" t="inlineStr">
        <is>
          <t>scenarioAnnualSavingsTRY</t>
        </is>
      </c>
    </row>
    <row r="31">
      <c r="A31" s="23" t="inlineStr">
        <is>
          <t>Atık tasarrufu ₺</t>
        </is>
      </c>
      <c r="B31" s="35">
        <f>B25*B26</f>
        <v/>
      </c>
      <c r="C31" s="36" t="n">
        <v>425000</v>
      </c>
      <c r="D31" s="19">
        <f>IF(ISNUMBER(C31),IF(ABS(B31-C31)&lt;=0.01,"✓ EŞLEŞTİ","✗ FARK "&amp;TEXT(B31-C31,"0.000")),IF(EXACT(B31,C31),"✓ EŞLEŞTİ","✗ FARK"))</f>
        <v/>
      </c>
      <c r="E31" s="28" t="inlineStr">
        <is>
          <t>B25*B26</t>
        </is>
      </c>
      <c r="F31" s="29" t="inlineStr">
        <is>
          <t>scenarioAnnualSavingsTRY</t>
        </is>
      </c>
    </row>
  </sheetData>
  <mergeCells count="5">
    <mergeCell ref="A2:F2"/>
    <mergeCell ref="A16:F16"/>
    <mergeCell ref="A1:F1"/>
    <mergeCell ref="A5:F5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2" customWidth="1" min="4" max="4"/>
    <col width="48" customWidth="1" min="5" max="5"/>
    <col width="26" customWidth="1" min="6" max="6"/>
  </cols>
  <sheetData>
    <row r="1">
      <c r="A1" s="12" t="inlineStr">
        <is>
          <t>7 · Yıllıklandırma ve Senaryo Patikası</t>
        </is>
      </c>
    </row>
    <row r="2" ht="30" customHeight="1">
      <c r="A2" s="2" t="inlineStr">
        <is>
          <t>annualize(v,n): n≤0→0; n≥12→v; aksi halde v×12/n.  scenarioPath: değer − azaltım×MIN(1,(y−başlangıç+1)/rampa), 0'ın altına düşmez.</t>
        </is>
      </c>
    </row>
    <row r="3">
      <c r="A3" s="2" t="inlineStr">
        <is>
          <t>Kaynak: engine.ts → annualize, scenarioPath</t>
        </is>
      </c>
    </row>
    <row r="5">
      <c r="A5" s="3" t="inlineStr">
        <is>
          <t>annualize(v, n)</t>
        </is>
      </c>
    </row>
    <row r="6">
      <c r="A6" s="13" t="inlineStr">
        <is>
          <t>Gösterge</t>
        </is>
      </c>
      <c r="B6" s="13" t="inlineStr">
        <is>
          <t>Canlı Sonuç (formül)</t>
        </is>
      </c>
      <c r="C6" s="13" t="inlineStr">
        <is>
          <t>Beklenen</t>
        </is>
      </c>
      <c r="D6" s="13" t="inlineStr">
        <is>
          <t>KONTROL</t>
        </is>
      </c>
      <c r="E6" s="25" t="inlineStr">
        <is>
          <t>Formül (metin)</t>
        </is>
      </c>
      <c r="F6" s="13" t="inlineStr">
        <is>
          <t>Kaynak fonksiyon</t>
        </is>
      </c>
    </row>
    <row r="7">
      <c r="A7" s="23" t="inlineStr">
        <is>
          <t>annualize(100, 6)</t>
        </is>
      </c>
      <c r="B7" s="17">
        <f>IF(6&lt;=0,0,IF(6&gt;=12,100,100*12/6))</f>
        <v/>
      </c>
      <c r="C7" s="18" t="n">
        <v>200</v>
      </c>
      <c r="D7" s="19">
        <f>IF(ISNUMBER(C7),IF(ABS(B7-C7)&lt;=0.01,"✓ EŞLEŞTİ","✗ FARK "&amp;TEXT(B7-C7,"0.000")),IF(EXACT(B7,C7),"✓ EŞLEŞTİ","✗ FARK"))</f>
        <v/>
      </c>
      <c r="E7" s="28" t="inlineStr">
        <is>
          <t>IF(6&lt;=0,0,IF(6&gt;=12,100,100*12/6))</t>
        </is>
      </c>
      <c r="F7" s="29" t="inlineStr">
        <is>
          <t>annualize</t>
        </is>
      </c>
    </row>
    <row r="8">
      <c r="A8" s="23" t="inlineStr">
        <is>
          <t>annualize(340, 12)</t>
        </is>
      </c>
      <c r="B8" s="17">
        <f>IF(12&lt;=0,0,IF(12&gt;=12,340,340*12/12))</f>
        <v/>
      </c>
      <c r="C8" s="18" t="n">
        <v>340</v>
      </c>
      <c r="D8" s="19">
        <f>IF(ISNUMBER(C8),IF(ABS(B8-C8)&lt;=0.01,"✓ EŞLEŞTİ","✗ FARK "&amp;TEXT(B8-C8,"0.000")),IF(EXACT(B8,C8),"✓ EŞLEŞTİ","✗ FARK"))</f>
        <v/>
      </c>
      <c r="E8" s="28" t="inlineStr">
        <is>
          <t>IF(12&lt;=0,0,IF(12&gt;=12,340,340*12/12))</t>
        </is>
      </c>
      <c r="F8" s="29" t="inlineStr">
        <is>
          <t>annualize</t>
        </is>
      </c>
    </row>
    <row r="9">
      <c r="A9" s="23" t="inlineStr">
        <is>
          <t>annualize(340, 14)</t>
        </is>
      </c>
      <c r="B9" s="17">
        <f>IF(14&lt;=0,0,IF(14&gt;=12,340,340*12/14))</f>
        <v/>
      </c>
      <c r="C9" s="18" t="n">
        <v>340</v>
      </c>
      <c r="D9" s="19">
        <f>IF(ISNUMBER(C9),IF(ABS(B9-C9)&lt;=0.01,"✓ EŞLEŞTİ","✗ FARK "&amp;TEXT(B9-C9,"0.000")),IF(EXACT(B9,C9),"✓ EŞLEŞTİ","✗ FARK"))</f>
        <v/>
      </c>
      <c r="E9" s="28" t="inlineStr">
        <is>
          <t>IF(14&lt;=0,0,IF(14&gt;=12,340,340*12/14))</t>
        </is>
      </c>
      <c r="F9" s="29" t="inlineStr">
        <is>
          <t>annualize</t>
        </is>
      </c>
    </row>
    <row r="10">
      <c r="A10" s="23" t="inlineStr">
        <is>
          <t>annualize(500, 0)</t>
        </is>
      </c>
      <c r="B10" s="17">
        <f>IF(0&lt;=0,0,IF(0&gt;=12,500,500*12/0))</f>
        <v/>
      </c>
      <c r="C10" s="18" t="n">
        <v>0</v>
      </c>
      <c r="D10" s="19">
        <f>IF(ISNUMBER(C10),IF(ABS(B10-C10)&lt;=0.01,"✓ EŞLEŞTİ","✗ FARK "&amp;TEXT(B10-C10,"0.000")),IF(EXACT(B10,C10),"✓ EŞLEŞTİ","✗ FARK"))</f>
        <v/>
      </c>
      <c r="E10" s="28" t="inlineStr">
        <is>
          <t>IF(0&lt;=0,0,IF(0&gt;=12,500,500*12/0))</t>
        </is>
      </c>
      <c r="F10" s="29" t="inlineStr">
        <is>
          <t>annualize</t>
        </is>
      </c>
    </row>
    <row r="11">
      <c r="A11" s="23" t="inlineStr">
        <is>
          <t>annualize(500, -3)</t>
        </is>
      </c>
      <c r="B11" s="17">
        <f>IF(-3&lt;=0,0,IF(-3&gt;=12,500,500*12/-3))</f>
        <v/>
      </c>
      <c r="C11" s="18" t="n">
        <v>0</v>
      </c>
      <c r="D11" s="19">
        <f>IF(ISNUMBER(C11),IF(ABS(B11-C11)&lt;=0.01,"✓ EŞLEŞTİ","✗ FARK "&amp;TEXT(B11-C11,"0.000")),IF(EXACT(B11,C11),"✓ EŞLEŞTİ","✗ FARK"))</f>
        <v/>
      </c>
      <c r="E11" s="28" t="inlineStr">
        <is>
          <t>IF(-3&lt;=0,0,IF(-3&gt;=12,500,500*12/-3))</t>
        </is>
      </c>
      <c r="F11" s="29" t="inlineStr">
        <is>
          <t>annualize</t>
        </is>
      </c>
    </row>
    <row r="12">
      <c r="A12" s="23" t="inlineStr">
        <is>
          <t>annualize(10, 1)</t>
        </is>
      </c>
      <c r="B12" s="17">
        <f>IF(1&lt;=0,0,IF(1&gt;=12,10,10*12/1))</f>
        <v/>
      </c>
      <c r="C12" s="18" t="n">
        <v>120</v>
      </c>
      <c r="D12" s="19">
        <f>IF(ISNUMBER(C12),IF(ABS(B12-C12)&lt;=0.01,"✓ EŞLEŞTİ","✗ FARK "&amp;TEXT(B12-C12,"0.000")),IF(EXACT(B12,C12),"✓ EŞLEŞTİ","✗ FARK"))</f>
        <v/>
      </c>
      <c r="E12" s="28" t="inlineStr">
        <is>
          <t>IF(1&lt;=0,0,IF(1&gt;=12,10,10*12/1))</t>
        </is>
      </c>
      <c r="F12" s="29" t="inlineStr">
        <is>
          <t>annualize</t>
        </is>
      </c>
    </row>
    <row r="13">
      <c r="A13" s="23" t="inlineStr">
        <is>
          <t>annualize(100, 7)</t>
        </is>
      </c>
      <c r="B13" s="17">
        <f>IF(7&lt;=0,0,IF(7&gt;=12,100,100*12/7))</f>
        <v/>
      </c>
      <c r="C13" s="18" t="n">
        <v>171.4286</v>
      </c>
      <c r="D13" s="19">
        <f>IF(ISNUMBER(C13),IF(ABS(B13-C13)&lt;=0.01,"✓ EŞLEŞTİ","✗ FARK "&amp;TEXT(B13-C13,"0.000")),IF(EXACT(B13,C13),"✓ EŞLEŞTİ","✗ FARK"))</f>
        <v/>
      </c>
      <c r="E13" s="28" t="inlineStr">
        <is>
          <t>IF(7&lt;=0,0,IF(7&gt;=12,100,100*12/7))</t>
        </is>
      </c>
      <c r="F13" s="29" t="inlineStr">
        <is>
          <t>annualize</t>
        </is>
      </c>
    </row>
    <row r="15">
      <c r="A15" s="3" t="inlineStr">
        <is>
          <t>scenarioPath — baz=100/yıl, başlangıç=2026, yıllık azaltım=50, rampa=5</t>
        </is>
      </c>
    </row>
    <row r="16">
      <c r="A16" s="23" t="inlineStr">
        <is>
          <t>baz değer</t>
        </is>
      </c>
      <c r="B16" s="31" t="n">
        <v>100</v>
      </c>
      <c r="C16" s="20" t="inlineStr">
        <is>
          <t>tCO2e</t>
        </is>
      </c>
    </row>
    <row r="17">
      <c r="A17" s="23" t="inlineStr">
        <is>
          <t>yıllık azaltım</t>
        </is>
      </c>
      <c r="B17" s="31" t="n">
        <v>50</v>
      </c>
      <c r="C17" s="20" t="inlineStr">
        <is>
          <t>tCO2e</t>
        </is>
      </c>
    </row>
    <row r="18">
      <c r="A18" s="23" t="inlineStr">
        <is>
          <t>başlangıç yılı</t>
        </is>
      </c>
      <c r="B18" s="31" t="n">
        <v>2026</v>
      </c>
      <c r="C18" s="20" t="inlineStr"/>
    </row>
    <row r="19">
      <c r="A19" s="23" t="inlineStr">
        <is>
          <t>rampa (yıl)</t>
        </is>
      </c>
      <c r="B19" s="31" t="n">
        <v>5</v>
      </c>
      <c r="C19" s="20" t="inlineStr"/>
    </row>
    <row r="21">
      <c r="A21" s="13" t="inlineStr">
        <is>
          <t>Yıl</t>
        </is>
      </c>
      <c r="B21" s="13" t="inlineStr">
        <is>
          <t>Canlı Sonuç (formül)</t>
        </is>
      </c>
      <c r="C21" s="13" t="inlineStr">
        <is>
          <t>Beklenen</t>
        </is>
      </c>
      <c r="D21" s="13" t="inlineStr">
        <is>
          <t>KONTROL</t>
        </is>
      </c>
      <c r="E21" s="25" t="inlineStr">
        <is>
          <t>Formül (metin)</t>
        </is>
      </c>
      <c r="F21" s="13" t="inlineStr">
        <is>
          <t>Kaynak fonksiyon</t>
        </is>
      </c>
    </row>
    <row r="22">
      <c r="A22" s="23" t="inlineStr">
        <is>
          <t>patika(2026)</t>
        </is>
      </c>
      <c r="B22" s="17">
        <f>MAX(0,B16-B17*MIN(1,(2026-B18+1)/B19))</f>
        <v/>
      </c>
      <c r="C22" s="18" t="n">
        <v>90</v>
      </c>
      <c r="D22" s="19">
        <f>IF(ISNUMBER(C22),IF(ABS(B22-C22)&lt;=0.01,"✓ EŞLEŞTİ","✗ FARK "&amp;TEXT(B22-C22,"0.000")),IF(EXACT(B22,C22),"✓ EŞLEŞTİ","✗ FARK"))</f>
        <v/>
      </c>
      <c r="E22" s="28" t="inlineStr">
        <is>
          <t>MAX(0,B16-B17*MIN(1,(2026-B18+1)/B19))</t>
        </is>
      </c>
      <c r="F22" s="29" t="inlineStr">
        <is>
          <t>scenarioPath</t>
        </is>
      </c>
    </row>
    <row r="23">
      <c r="A23" s="23" t="inlineStr">
        <is>
          <t>patika(2027)</t>
        </is>
      </c>
      <c r="B23" s="17">
        <f>MAX(0,B16-B17*MIN(1,(2027-B18+1)/B19))</f>
        <v/>
      </c>
      <c r="C23" s="18" t="n">
        <v>80</v>
      </c>
      <c r="D23" s="19">
        <f>IF(ISNUMBER(C23),IF(ABS(B23-C23)&lt;=0.01,"✓ EŞLEŞTİ","✗ FARK "&amp;TEXT(B23-C23,"0.000")),IF(EXACT(B23,C23),"✓ EŞLEŞTİ","✗ FARK"))</f>
        <v/>
      </c>
      <c r="E23" s="28" t="inlineStr">
        <is>
          <t>MAX(0,B16-B17*MIN(1,(2027-B18+1)/B19))</t>
        </is>
      </c>
      <c r="F23" s="29" t="inlineStr">
        <is>
          <t>scenarioPath</t>
        </is>
      </c>
    </row>
    <row r="24">
      <c r="A24" s="23" t="inlineStr">
        <is>
          <t>patika(2028)</t>
        </is>
      </c>
      <c r="B24" s="17">
        <f>MAX(0,B16-B17*MIN(1,(2028-B18+1)/B19))</f>
        <v/>
      </c>
      <c r="C24" s="18" t="n">
        <v>70</v>
      </c>
      <c r="D24" s="19">
        <f>IF(ISNUMBER(C24),IF(ABS(B24-C24)&lt;=0.01,"✓ EŞLEŞTİ","✗ FARK "&amp;TEXT(B24-C24,"0.000")),IF(EXACT(B24,C24),"✓ EŞLEŞTİ","✗ FARK"))</f>
        <v/>
      </c>
      <c r="E24" s="28" t="inlineStr">
        <is>
          <t>MAX(0,B16-B17*MIN(1,(2028-B18+1)/B19))</t>
        </is>
      </c>
      <c r="F24" s="29" t="inlineStr">
        <is>
          <t>scenarioPath</t>
        </is>
      </c>
    </row>
    <row r="25">
      <c r="A25" s="23" t="inlineStr">
        <is>
          <t>patika(2029)</t>
        </is>
      </c>
      <c r="B25" s="17">
        <f>MAX(0,B16-B17*MIN(1,(2029-B18+1)/B19))</f>
        <v/>
      </c>
      <c r="C25" s="18" t="n">
        <v>60</v>
      </c>
      <c r="D25" s="19">
        <f>IF(ISNUMBER(C25),IF(ABS(B25-C25)&lt;=0.01,"✓ EŞLEŞTİ","✗ FARK "&amp;TEXT(B25-C25,"0.000")),IF(EXACT(B25,C25),"✓ EŞLEŞTİ","✗ FARK"))</f>
        <v/>
      </c>
      <c r="E25" s="28" t="inlineStr">
        <is>
          <t>MAX(0,B16-B17*MIN(1,(2029-B18+1)/B19))</t>
        </is>
      </c>
      <c r="F25" s="29" t="inlineStr">
        <is>
          <t>scenarioPath</t>
        </is>
      </c>
    </row>
    <row r="26">
      <c r="A26" s="23" t="inlineStr">
        <is>
          <t>patika(2030)</t>
        </is>
      </c>
      <c r="B26" s="17">
        <f>MAX(0,B16-B17*MIN(1,(2030-B18+1)/B19))</f>
        <v/>
      </c>
      <c r="C26" s="18" t="n">
        <v>50</v>
      </c>
      <c r="D26" s="19">
        <f>IF(ISNUMBER(C26),IF(ABS(B26-C26)&lt;=0.01,"✓ EŞLEŞTİ","✗ FARK "&amp;TEXT(B26-C26,"0.000")),IF(EXACT(B26,C26),"✓ EŞLEŞTİ","✗ FARK"))</f>
        <v/>
      </c>
      <c r="E26" s="28" t="inlineStr">
        <is>
          <t>MAX(0,B16-B17*MIN(1,(2030-B18+1)/B19))</t>
        </is>
      </c>
      <c r="F26" s="29" t="inlineStr">
        <is>
          <t>scenarioPath</t>
        </is>
      </c>
    </row>
    <row r="27">
      <c r="A27" s="23" t="inlineStr">
        <is>
          <t>patika(2031)</t>
        </is>
      </c>
      <c r="B27" s="17">
        <f>MAX(0,B16-B17*MIN(1,(2031-B18+1)/B19))</f>
        <v/>
      </c>
      <c r="C27" s="18" t="n">
        <v>50</v>
      </c>
      <c r="D27" s="19">
        <f>IF(ISNUMBER(C27),IF(ABS(B27-C27)&lt;=0.01,"✓ EŞLEŞTİ","✗ FARK "&amp;TEXT(B27-C27,"0.000")),IF(EXACT(B27,C27),"✓ EŞLEŞTİ","✗ FARK"))</f>
        <v/>
      </c>
      <c r="E27" s="28" t="inlineStr">
        <is>
          <t>MAX(0,B16-B17*MIN(1,(2031-B18+1)/B19))</t>
        </is>
      </c>
      <c r="F27" s="29" t="inlineStr">
        <is>
          <t>scenarioPath</t>
        </is>
      </c>
    </row>
    <row r="29">
      <c r="A29" s="20" t="inlineStr">
        <is>
          <t>Rampa: (yıl−2026+1)/5 → 0.2, 0.4, 0.6, 0.8, 1.0, 1.0. Azaltım tam rampada 50'ye ulaşır ve sabit kalır.</t>
        </is>
      </c>
    </row>
  </sheetData>
  <mergeCells count="6">
    <mergeCell ref="A2:F2"/>
    <mergeCell ref="A1:F1"/>
    <mergeCell ref="A5:F5"/>
    <mergeCell ref="A29:F29"/>
    <mergeCell ref="A3:F3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2" t="inlineStr">
        <is>
          <t>8 · Geri Ödeme ve Öncelik Skoru</t>
        </is>
      </c>
    </row>
    <row r="2" ht="30" customHeight="1">
      <c r="A2" s="2" t="inlineStr">
        <is>
          <t>paybackYears: tasarruf≤0→null; capex≤0→0; aksi halde capex/tasarruf.  priorityScores: oran=azaltım/capex (azaltım≤0→0, capex≤0→∞); skor = ∞→100, aksi halde MIN(100, oran/enBüyükSonlu×100).</t>
        </is>
      </c>
    </row>
    <row r="3">
      <c r="A3" s="2" t="inlineStr">
        <is>
          <t>Kaynak: engine.ts → paybackYears, priorityScores</t>
        </is>
      </c>
    </row>
    <row r="5">
      <c r="A5" s="3" t="inlineStr">
        <is>
          <t>paybackYears</t>
        </is>
      </c>
    </row>
    <row r="6">
      <c r="A6" s="13" t="inlineStr">
        <is>
          <t>Gösterge</t>
        </is>
      </c>
      <c r="B6" s="13" t="inlineStr">
        <is>
          <t>Canlı Sonuç (formül)</t>
        </is>
      </c>
      <c r="C6" s="13" t="inlineStr">
        <is>
          <t>Beklenen</t>
        </is>
      </c>
      <c r="D6" s="13" t="inlineStr">
        <is>
          <t>KONTROL</t>
        </is>
      </c>
      <c r="E6" s="25" t="inlineStr">
        <is>
          <t>Formül (metin)</t>
        </is>
      </c>
      <c r="F6" s="13" t="inlineStr">
        <is>
          <t>Kaynak fonksiyon</t>
        </is>
      </c>
    </row>
    <row r="7">
      <c r="A7" s="23" t="inlineStr">
        <is>
          <t>capex 1.000.000 / tasarruf 250.000</t>
        </is>
      </c>
      <c r="B7" s="17">
        <f>IF(250000&lt;=0,"null",IF(1000000&lt;=0,0,1000000/250000))</f>
        <v/>
      </c>
      <c r="C7" s="18" t="n">
        <v>4</v>
      </c>
      <c r="D7" s="19">
        <f>IF(ISNUMBER(C7),IF(ABS(B7-C7)&lt;=0.01,"✓ EŞLEŞTİ","✗ FARK "&amp;TEXT(B7-C7,"0.000")),IF(EXACT(B7,C7),"✓ EŞLEŞTİ","✗ FARK"))</f>
        <v/>
      </c>
      <c r="E7" s="28" t="inlineStr">
        <is>
          <t>IF(250000&lt;=0,"null",IF(1000000&lt;=0,0,1000000/250000))</t>
        </is>
      </c>
      <c r="F7" s="29" t="inlineStr">
        <is>
          <t>paybackYears</t>
        </is>
      </c>
    </row>
    <row r="8">
      <c r="A8" s="23" t="inlineStr">
        <is>
          <t>tasarruf 0 → null</t>
        </is>
      </c>
      <c r="B8" s="17">
        <f>IF(0&lt;=0,"null",1)</f>
        <v/>
      </c>
      <c r="C8" s="30" t="inlineStr">
        <is>
          <t>null</t>
        </is>
      </c>
      <c r="D8" s="19">
        <f>IF(ISNUMBER(C8),IF(ABS(B8-C8)&lt;=0.01,"✓ EŞLEŞTİ","✗ FARK "&amp;TEXT(B8-C8,"0.000")),IF(EXACT(B8,C8),"✓ EŞLEŞTİ","✗ FARK"))</f>
        <v/>
      </c>
      <c r="E8" s="28" t="inlineStr">
        <is>
          <t>IF(0&lt;=0,"null",1)</t>
        </is>
      </c>
      <c r="F8" s="29" t="inlineStr">
        <is>
          <t>paybackYears</t>
        </is>
      </c>
    </row>
    <row r="9">
      <c r="A9" s="23" t="inlineStr">
        <is>
          <t>capex 0 → 0</t>
        </is>
      </c>
      <c r="B9" s="17">
        <f>IF(100&lt;=0,"null",IF(0&lt;=0,0,1))</f>
        <v/>
      </c>
      <c r="C9" s="18" t="n">
        <v>0</v>
      </c>
      <c r="D9" s="19">
        <f>IF(ISNUMBER(C9),IF(ABS(B9-C9)&lt;=0.01,"✓ EŞLEŞTİ","✗ FARK "&amp;TEXT(B9-C9,"0.000")),IF(EXACT(B9,C9),"✓ EŞLEŞTİ","✗ FARK"))</f>
        <v/>
      </c>
      <c r="E9" s="28" t="inlineStr">
        <is>
          <t>IF(100&lt;=0,"null",IF(0&lt;=0,0,1))</t>
        </is>
      </c>
      <c r="F9" s="29" t="inlineStr">
        <is>
          <t>paybackYears</t>
        </is>
      </c>
    </row>
    <row r="11">
      <c r="A11" s="3" t="inlineStr">
        <is>
          <t>priorityScores — 4 önlem (azaltım tCO2e, capex ₺)</t>
        </is>
      </c>
    </row>
    <row r="12">
      <c r="A12" s="13" t="inlineStr">
        <is>
          <t>Önlem</t>
        </is>
      </c>
      <c r="B12" s="13" t="inlineStr">
        <is>
          <t>Azaltım</t>
        </is>
      </c>
      <c r="C12" s="13" t="inlineStr">
        <is>
          <t>Capex</t>
        </is>
      </c>
      <c r="D12" s="13" t="inlineStr">
        <is>
          <t>Oran (canlı)</t>
        </is>
      </c>
      <c r="E12" s="13" t="inlineStr">
        <is>
          <t>Skor (canlı)</t>
        </is>
      </c>
      <c r="F12" s="13" t="inlineStr">
        <is>
          <t>Beklenen skor</t>
        </is>
      </c>
      <c r="G12" s="13" t="inlineStr">
        <is>
          <t>KONTROL</t>
        </is>
      </c>
    </row>
    <row r="13">
      <c r="A13" s="9" t="inlineStr">
        <is>
          <t>A</t>
        </is>
      </c>
      <c r="B13" s="14" t="n">
        <v>100</v>
      </c>
      <c r="C13" s="14" t="n">
        <v>1000000</v>
      </c>
      <c r="D13" s="37">
        <f>IF(B13&lt;=0,0,IF(C13&lt;=0,1E+99,B13/C13))</f>
        <v/>
      </c>
      <c r="E13" s="16">
        <f>IF(D13&gt;=1E+90,100,IF(MAXIFS($D$13:$D$16,$D$13:$D$16,"&lt;1E+90")&lt;=0,0,MIN(100,D13/MAXIFS($D$13:$D$16,$D$13:$D$16,"&lt;1E+90")*100)))</f>
        <v/>
      </c>
      <c r="F13" s="22" t="n">
        <v>100</v>
      </c>
      <c r="G13" s="19">
        <f>IF(ABS(E13-F13)&lt;=0.01,"✓ EŞLEŞTİ","✗ FARK")</f>
        <v/>
      </c>
    </row>
    <row r="14">
      <c r="A14" s="9" t="inlineStr">
        <is>
          <t>B</t>
        </is>
      </c>
      <c r="B14" s="14" t="n">
        <v>50</v>
      </c>
      <c r="C14" s="14" t="n">
        <v>1000000</v>
      </c>
      <c r="D14" s="37">
        <f>IF(B14&lt;=0,0,IF(C14&lt;=0,1E+99,B14/C14))</f>
        <v/>
      </c>
      <c r="E14" s="16">
        <f>IF(D14&gt;=1E+90,100,IF(MAXIFS($D$13:$D$16,$D$13:$D$16,"&lt;1E+90")&lt;=0,0,MIN(100,D14/MAXIFS($D$13:$D$16,$D$13:$D$16,"&lt;1E+90")*100)))</f>
        <v/>
      </c>
      <c r="F14" s="22" t="n">
        <v>50</v>
      </c>
      <c r="G14" s="19">
        <f>IF(ABS(E14-F14)&lt;=0.01,"✓ EŞLEŞTİ","✗ FARK")</f>
        <v/>
      </c>
    </row>
    <row r="15">
      <c r="A15" s="9" t="inlineStr">
        <is>
          <t>C (bedava, capex=0)</t>
        </is>
      </c>
      <c r="B15" s="14" t="n">
        <v>10</v>
      </c>
      <c r="C15" s="14" t="n">
        <v>0</v>
      </c>
      <c r="D15" s="37">
        <f>IF(B15&lt;=0,0,IF(C15&lt;=0,1E+99,B15/C15))</f>
        <v/>
      </c>
      <c r="E15" s="16">
        <f>IF(D15&gt;=1E+90,100,IF(MAXIFS($D$13:$D$16,$D$13:$D$16,"&lt;1E+90")&lt;=0,0,MIN(100,D15/MAXIFS($D$13:$D$16,$D$13:$D$16,"&lt;1E+90")*100)))</f>
        <v/>
      </c>
      <c r="F15" s="22" t="n">
        <v>100</v>
      </c>
      <c r="G15" s="19">
        <f>IF(ABS(E15-F15)&lt;=0.01,"✓ EŞLEŞTİ","✗ FARK")</f>
        <v/>
      </c>
    </row>
    <row r="16">
      <c r="A16" s="9" t="inlineStr">
        <is>
          <t>D (azaltım=0)</t>
        </is>
      </c>
      <c r="B16" s="14" t="n">
        <v>0</v>
      </c>
      <c r="C16" s="14" t="n">
        <v>500</v>
      </c>
      <c r="D16" s="37">
        <f>IF(B16&lt;=0,0,IF(C16&lt;=0,1E+99,B16/C16))</f>
        <v/>
      </c>
      <c r="E16" s="16">
        <f>IF(D16&gt;=1E+90,100,IF(MAXIFS($D$13:$D$16,$D$13:$D$16,"&lt;1E+90")&lt;=0,0,MIN(100,D16/MAXIFS($D$13:$D$16,$D$13:$D$16,"&lt;1E+90")*100)))</f>
        <v/>
      </c>
      <c r="F16" s="22" t="n">
        <v>0</v>
      </c>
      <c r="G16" s="19">
        <f>IF(ABS(E16-F16)&lt;=0.01,"✓ EŞLEŞTİ","✗ FARK")</f>
        <v/>
      </c>
    </row>
    <row r="18">
      <c r="A18" s="20" t="inlineStr">
        <is>
          <t>En büyük sonlu oran A önlemi (0.0001). Bedava önlem (capex 0) sonsuz verim → 100. Azaltımı olmayan önlem → 0.</t>
        </is>
      </c>
    </row>
  </sheetData>
  <mergeCells count="6">
    <mergeCell ref="A2:F2"/>
    <mergeCell ref="A11:F11"/>
    <mergeCell ref="A18:G18"/>
    <mergeCell ref="A1:F1"/>
    <mergeCell ref="A5:F5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2" customWidth="1" min="4" max="4"/>
    <col width="48" customWidth="1" min="5" max="5"/>
    <col width="26" customWidth="1" min="6" max="6"/>
  </cols>
  <sheetData>
    <row r="1">
      <c r="A1" s="12" t="inlineStr">
        <is>
          <t>9 · GES Fizibilite ve Karşılama Oranı</t>
        </is>
      </c>
    </row>
    <row r="2" ht="30" customHeight="1">
      <c r="A2" s="2" t="inlineStr">
        <is>
          <t>uretim=kWp×1350; özTüketim=uretim×pct; satış=uretim−öz; azaltım=öz×fEl/1000; gelir=öz×elFiyat+satış×satışTarife(1.8); capex=verilen&gt;0?verilen:kWp×28000; payback=capex/gelir.  Karşılama = ges/(ges+şebeke)×100.</t>
        </is>
      </c>
    </row>
    <row r="3">
      <c r="A3" s="2" t="inlineStr">
        <is>
          <t>Kaynak: engine.ts → gesFeasibility, gesCoverageRatio</t>
        </is>
      </c>
    </row>
    <row r="5">
      <c r="A5" s="3" t="inlineStr">
        <is>
          <t>Girdiler</t>
        </is>
      </c>
    </row>
    <row r="6">
      <c r="A6" s="23" t="inlineStr">
        <is>
          <t>kWp</t>
        </is>
      </c>
      <c r="B6" s="31" t="n">
        <v>500</v>
      </c>
      <c r="C6" s="20" t="inlineStr">
        <is>
          <t>kWp</t>
        </is>
      </c>
    </row>
    <row r="7">
      <c r="A7" s="23" t="inlineStr">
        <is>
          <t>öz tüketim %</t>
        </is>
      </c>
      <c r="B7" s="31" t="n">
        <v>70</v>
      </c>
      <c r="C7" s="20" t="inlineStr">
        <is>
          <t>%</t>
        </is>
      </c>
    </row>
    <row r="8">
      <c r="A8" s="23" t="inlineStr">
        <is>
          <t>fEl</t>
        </is>
      </c>
      <c r="B8" s="24" t="n">
        <v>0.442</v>
      </c>
      <c r="C8" s="20" t="inlineStr">
        <is>
          <t>kg/kWh</t>
        </is>
      </c>
    </row>
    <row r="9">
      <c r="A9" s="23" t="inlineStr">
        <is>
          <t>elektrik fiyatı</t>
        </is>
      </c>
      <c r="B9" s="34" t="n">
        <v>3</v>
      </c>
      <c r="C9" s="20" t="inlineStr">
        <is>
          <t>₺/kWh</t>
        </is>
      </c>
    </row>
    <row r="10">
      <c r="A10" s="23" t="inlineStr">
        <is>
          <t>satış tarifesi</t>
        </is>
      </c>
      <c r="B10" s="34" t="n">
        <v>1.8</v>
      </c>
      <c r="C10" s="20" t="inlineStr">
        <is>
          <t>₺/kWh</t>
        </is>
      </c>
    </row>
    <row r="11">
      <c r="A11" s="23" t="inlineStr">
        <is>
          <t>kWh/kWp sabiti</t>
        </is>
      </c>
      <c r="B11" s="31" t="n">
        <v>1350</v>
      </c>
      <c r="C11" s="20" t="inlineStr"/>
    </row>
    <row r="12">
      <c r="A12" s="23" t="inlineStr">
        <is>
          <t>capex ₺/kWp sabiti</t>
        </is>
      </c>
      <c r="B12" s="31" t="n">
        <v>28000</v>
      </c>
      <c r="C12" s="20" t="inlineStr"/>
    </row>
    <row r="14">
      <c r="A14" s="13" t="inlineStr">
        <is>
          <t>Gösterge</t>
        </is>
      </c>
      <c r="B14" s="13" t="inlineStr">
        <is>
          <t>Canlı Sonuç (formül)</t>
        </is>
      </c>
      <c r="C14" s="13" t="inlineStr">
        <is>
          <t>Beklenen</t>
        </is>
      </c>
      <c r="D14" s="13" t="inlineStr">
        <is>
          <t>KONTROL</t>
        </is>
      </c>
      <c r="E14" s="25" t="inlineStr">
        <is>
          <t>Formül (metin)</t>
        </is>
      </c>
      <c r="F14" s="13" t="inlineStr">
        <is>
          <t>Kaynak fonksiyon</t>
        </is>
      </c>
    </row>
    <row r="15">
      <c r="A15" s="23" t="inlineStr">
        <is>
          <t>Üretim (kWh/yıl)</t>
        </is>
      </c>
      <c r="B15" s="35">
        <f>B6*B11</f>
        <v/>
      </c>
      <c r="C15" s="36" t="n">
        <v>675000</v>
      </c>
      <c r="D15" s="19">
        <f>IF(ISNUMBER(C15),IF(ABS(B15-C15)&lt;=0.01,"✓ EŞLEŞTİ","✗ FARK "&amp;TEXT(B15-C15,"0.000")),IF(EXACT(B15,C15),"✓ EŞLEŞTİ","✗ FARK"))</f>
        <v/>
      </c>
      <c r="E15" s="28" t="inlineStr">
        <is>
          <t>B6*B11</t>
        </is>
      </c>
      <c r="F15" s="29" t="inlineStr">
        <is>
          <t>gesFeasibility</t>
        </is>
      </c>
    </row>
    <row r="16">
      <c r="A16" s="23" t="inlineStr">
        <is>
          <t>Öz tüketim (kWh)</t>
        </is>
      </c>
      <c r="B16" s="35">
        <f>B15*MIN(100,MAX(0,B7))/100</f>
        <v/>
      </c>
      <c r="C16" s="36" t="n">
        <v>472499.9999999999</v>
      </c>
      <c r="D16" s="19">
        <f>IF(ISNUMBER(C16),IF(ABS(B16-C16)&lt;=0.01,"✓ EŞLEŞTİ","✗ FARK "&amp;TEXT(B16-C16,"0.000")),IF(EXACT(B16,C16),"✓ EŞLEŞTİ","✗ FARK"))</f>
        <v/>
      </c>
      <c r="E16" s="28" t="inlineStr">
        <is>
          <t>B15*MIN(100,MAX(0,B7))/100</t>
        </is>
      </c>
      <c r="F16" s="29" t="inlineStr">
        <is>
          <t>gesFeasibility</t>
        </is>
      </c>
    </row>
    <row r="17">
      <c r="A17" s="23" t="inlineStr">
        <is>
          <t>Satış (kWh)</t>
        </is>
      </c>
      <c r="B17" s="35">
        <f>B15-B16</f>
        <v/>
      </c>
      <c r="C17" s="36" t="n">
        <v>202500.0000000001</v>
      </c>
      <c r="D17" s="19">
        <f>IF(ISNUMBER(C17),IF(ABS(B17-C17)&lt;=0.01,"✓ EŞLEŞTİ","✗ FARK "&amp;TEXT(B17-C17,"0.000")),IF(EXACT(B17,C17),"✓ EŞLEŞTİ","✗ FARK"))</f>
        <v/>
      </c>
      <c r="E17" s="28" t="inlineStr">
        <is>
          <t>B15-B16</t>
        </is>
      </c>
      <c r="F17" s="29" t="inlineStr">
        <is>
          <t>gesFeasibility</t>
        </is>
      </c>
    </row>
    <row r="18">
      <c r="A18" s="23" t="inlineStr">
        <is>
          <t>Azaltım (tCO2e)</t>
        </is>
      </c>
      <c r="B18" s="17">
        <f>B16*B8/1000</f>
        <v/>
      </c>
      <c r="C18" s="18" t="n">
        <v>208.845</v>
      </c>
      <c r="D18" s="19">
        <f>IF(ISNUMBER(C18),IF(ABS(B18-C18)&lt;=0.01,"✓ EŞLEŞTİ","✗ FARK "&amp;TEXT(B18-C18,"0.000")),IF(EXACT(B18,C18),"✓ EŞLEŞTİ","✗ FARK"))</f>
        <v/>
      </c>
      <c r="E18" s="28" t="inlineStr">
        <is>
          <t>B16*B8/1000</t>
        </is>
      </c>
      <c r="F18" s="29" t="inlineStr">
        <is>
          <t>gesFeasibility</t>
        </is>
      </c>
    </row>
    <row r="19">
      <c r="A19" s="23" t="inlineStr">
        <is>
          <t>Gelir (₺/yıl)</t>
        </is>
      </c>
      <c r="B19" s="35">
        <f>B16*B9+B17*B10</f>
        <v/>
      </c>
      <c r="C19" s="36" t="n">
        <v>1782000</v>
      </c>
      <c r="D19" s="19">
        <f>IF(ISNUMBER(C19),IF(ABS(B19-C19)&lt;=0.01,"✓ EŞLEŞTİ","✗ FARK "&amp;TEXT(B19-C19,"0.000")),IF(EXACT(B19,C19),"✓ EŞLEŞTİ","✗ FARK"))</f>
        <v/>
      </c>
      <c r="E19" s="28" t="inlineStr">
        <is>
          <t>B16*B9+B17*B10</t>
        </is>
      </c>
      <c r="F19" s="29" t="inlineStr">
        <is>
          <t>gesFeasibility</t>
        </is>
      </c>
    </row>
    <row r="20">
      <c r="A20" s="23" t="inlineStr">
        <is>
          <t>Capex (₺)</t>
        </is>
      </c>
      <c r="B20" s="35">
        <f>B6*B12</f>
        <v/>
      </c>
      <c r="C20" s="36" t="n">
        <v>14000000</v>
      </c>
      <c r="D20" s="19">
        <f>IF(ISNUMBER(C20),IF(ABS(B20-C20)&lt;=0.01,"✓ EŞLEŞTİ","✗ FARK "&amp;TEXT(B20-C20,"0.000")),IF(EXACT(B20,C20),"✓ EŞLEŞTİ","✗ FARK"))</f>
        <v/>
      </c>
      <c r="E20" s="28" t="inlineStr">
        <is>
          <t>B6*B12</t>
        </is>
      </c>
      <c r="F20" s="29" t="inlineStr">
        <is>
          <t>gesFeasibility</t>
        </is>
      </c>
    </row>
    <row r="21">
      <c r="A21" s="23" t="inlineStr">
        <is>
          <t>Geri ödeme (yıl)</t>
        </is>
      </c>
      <c r="B21" s="17">
        <f>B20/B19</f>
        <v/>
      </c>
      <c r="C21" s="18" t="n">
        <v>7.8563</v>
      </c>
      <c r="D21" s="19">
        <f>IF(ISNUMBER(C21),IF(ABS(B21-C21)&lt;=0.01,"✓ EŞLEŞTİ","✗ FARK "&amp;TEXT(B21-C21,"0.000")),IF(EXACT(B21,C21),"✓ EŞLEŞTİ","✗ FARK"))</f>
        <v/>
      </c>
      <c r="E21" s="28" t="inlineStr">
        <is>
          <t>B20/B19</t>
        </is>
      </c>
      <c r="F21" s="29" t="inlineStr">
        <is>
          <t>gesFeasibility</t>
        </is>
      </c>
    </row>
    <row r="23">
      <c r="A23" s="3" t="inlineStr">
        <is>
          <t>gesCoverageRatio — karşılama %</t>
        </is>
      </c>
    </row>
    <row r="24">
      <c r="A24" s="23" t="inlineStr">
        <is>
          <t>GES üretimi (kWh)</t>
        </is>
      </c>
      <c r="B24" s="31" t="n">
        <v>675000</v>
      </c>
      <c r="C24" s="20" t="inlineStr">
        <is>
          <t>kWh</t>
        </is>
      </c>
    </row>
    <row r="25">
      <c r="A25" s="23" t="inlineStr">
        <is>
          <t>şebeke tüketimi (kWh)</t>
        </is>
      </c>
      <c r="B25" s="31" t="n">
        <v>800000</v>
      </c>
      <c r="C25" s="20" t="inlineStr">
        <is>
          <t>kWh</t>
        </is>
      </c>
    </row>
    <row r="27">
      <c r="A27" s="13" t="inlineStr">
        <is>
          <t>Gösterge</t>
        </is>
      </c>
      <c r="B27" s="13" t="inlineStr">
        <is>
          <t>Canlı Sonuç (formül)</t>
        </is>
      </c>
      <c r="C27" s="13" t="inlineStr">
        <is>
          <t>Beklenen</t>
        </is>
      </c>
      <c r="D27" s="13" t="inlineStr">
        <is>
          <t>KONTROL</t>
        </is>
      </c>
      <c r="E27" s="25" t="inlineStr">
        <is>
          <t>Formül (metin)</t>
        </is>
      </c>
      <c r="F27" s="13" t="inlineStr">
        <is>
          <t>Kaynak fonksiyon</t>
        </is>
      </c>
    </row>
    <row r="28">
      <c r="A28" s="23" t="inlineStr">
        <is>
          <t>Karşılama oranı %</t>
        </is>
      </c>
      <c r="B28" s="26">
        <f>B24/(B24+B25)*100</f>
        <v/>
      </c>
      <c r="C28" s="27" t="n">
        <v>45.7627</v>
      </c>
      <c r="D28" s="19">
        <f>IF(ISNUMBER(C28),IF(ABS(B28-C28)&lt;=0.01,"✓ EŞLEŞTİ","✗ FARK "&amp;TEXT(B28-C28,"0.000")),IF(EXACT(B28,C28),"✓ EŞLEŞTİ","✗ FARK"))</f>
        <v/>
      </c>
      <c r="E28" s="28" t="inlineStr">
        <is>
          <t>B24/(B24+B25)*100</t>
        </is>
      </c>
      <c r="F28" s="29" t="inlineStr">
        <is>
          <t>gesCoverageRatio</t>
        </is>
      </c>
    </row>
  </sheetData>
  <mergeCells count="5">
    <mergeCell ref="A2:F2"/>
    <mergeCell ref="A1:F1"/>
    <mergeCell ref="A23:F23"/>
    <mergeCell ref="A5:F5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2" customWidth="1" min="4" max="4"/>
    <col width="48" customWidth="1" min="5" max="5"/>
    <col width="26" customWidth="1" min="6" max="6"/>
  </cols>
  <sheetData>
    <row r="1">
      <c r="A1" s="12" t="inlineStr">
        <is>
          <t>10 · kWh Eşdeğeri ve Hedef İlerlemesi</t>
        </is>
      </c>
    </row>
    <row r="2" ht="30" customHeight="1">
      <c r="A2" s="2" t="inlineStr">
        <is>
          <t>kWhEşdeğeri = elektrik + doğalgaz×10.64 + kömür×4.8.  Hedef ilerlemesi = ((baz−cari)/baz) / (hedef%/100) × 100 (baz≤0 veya hedef≤0 → null).</t>
        </is>
      </c>
    </row>
    <row r="3">
      <c r="A3" s="2" t="inlineStr">
        <is>
          <t>Kaynak: engine.ts → kwhEquivalent, savingsTargetProgress</t>
        </is>
      </c>
    </row>
    <row r="5">
      <c r="A5" s="3" t="inlineStr">
        <is>
          <t>kWh Eşdeğeri</t>
        </is>
      </c>
    </row>
    <row r="6">
      <c r="A6" s="23" t="inlineStr">
        <is>
          <t>elektrik (kWh)</t>
        </is>
      </c>
      <c r="B6" s="31" t="n">
        <v>120000</v>
      </c>
      <c r="C6" s="20" t="inlineStr">
        <is>
          <t>kWh</t>
        </is>
      </c>
    </row>
    <row r="7">
      <c r="A7" s="23" t="inlineStr">
        <is>
          <t>doğalgaz (m³)</t>
        </is>
      </c>
      <c r="B7" s="31" t="n">
        <v>5000</v>
      </c>
      <c r="C7" s="20" t="inlineStr">
        <is>
          <t>m³</t>
        </is>
      </c>
    </row>
    <row r="8">
      <c r="A8" s="23" t="inlineStr">
        <is>
          <t>kömür (kg)</t>
        </is>
      </c>
      <c r="B8" s="31" t="n">
        <v>2000</v>
      </c>
      <c r="C8" s="20" t="inlineStr">
        <is>
          <t>kg</t>
        </is>
      </c>
    </row>
    <row r="10">
      <c r="A10" s="13" t="inlineStr">
        <is>
          <t>Gösterge</t>
        </is>
      </c>
      <c r="B10" s="13" t="inlineStr">
        <is>
          <t>Canlı Sonuç (formül)</t>
        </is>
      </c>
      <c r="C10" s="13" t="inlineStr">
        <is>
          <t>Beklenen</t>
        </is>
      </c>
      <c r="D10" s="13" t="inlineStr">
        <is>
          <t>KONTROL</t>
        </is>
      </c>
      <c r="E10" s="25" t="inlineStr">
        <is>
          <t>Formül (metin)</t>
        </is>
      </c>
      <c r="F10" s="13" t="inlineStr">
        <is>
          <t>Kaynak fonksiyon</t>
        </is>
      </c>
    </row>
    <row r="11">
      <c r="A11" s="23" t="inlineStr">
        <is>
          <t>kWh eşdeğeri</t>
        </is>
      </c>
      <c r="B11" s="16">
        <f>B6+B7*10.64+B8*4.8</f>
        <v/>
      </c>
      <c r="C11" s="22" t="n">
        <v>182800</v>
      </c>
      <c r="D11" s="19">
        <f>IF(ISNUMBER(C11),IF(ABS(B11-C11)&lt;=0.01,"✓ EŞLEŞTİ","✗ FARK "&amp;TEXT(B11-C11,"0.000")),IF(EXACT(B11,C11),"✓ EŞLEŞTİ","✗ FARK"))</f>
        <v/>
      </c>
      <c r="E11" s="28" t="inlineStr">
        <is>
          <t>B6+B7*10.64+B8*4.8</t>
        </is>
      </c>
      <c r="F11" s="29" t="inlineStr">
        <is>
          <t>kwhEquivalent</t>
        </is>
      </c>
    </row>
    <row r="13">
      <c r="A13" s="3" t="inlineStr">
        <is>
          <t>Tasarruf Hedefi İlerlemesi</t>
        </is>
      </c>
    </row>
    <row r="14">
      <c r="A14" s="23" t="inlineStr">
        <is>
          <t>baz emisyon</t>
        </is>
      </c>
      <c r="B14" s="31" t="n">
        <v>200000</v>
      </c>
      <c r="C14" s="20" t="inlineStr">
        <is>
          <t>tCO2e</t>
        </is>
      </c>
    </row>
    <row r="15">
      <c r="A15" s="23" t="inlineStr">
        <is>
          <t>cari emisyon</t>
        </is>
      </c>
      <c r="B15" s="31" t="n">
        <v>182800</v>
      </c>
      <c r="C15" s="20" t="inlineStr">
        <is>
          <t>tCO2e</t>
        </is>
      </c>
    </row>
    <row r="16">
      <c r="A16" s="23" t="inlineStr">
        <is>
          <t>hedef azaltım %</t>
        </is>
      </c>
      <c r="B16" s="31" t="n">
        <v>10</v>
      </c>
      <c r="C16" s="20" t="inlineStr">
        <is>
          <t>%</t>
        </is>
      </c>
    </row>
    <row r="18">
      <c r="A18" s="13" t="inlineStr">
        <is>
          <t>Gösterge</t>
        </is>
      </c>
      <c r="B18" s="13" t="inlineStr">
        <is>
          <t>Canlı Sonuç (formül)</t>
        </is>
      </c>
      <c r="C18" s="13" t="inlineStr">
        <is>
          <t>Beklenen</t>
        </is>
      </c>
      <c r="D18" s="13" t="inlineStr">
        <is>
          <t>KONTROL</t>
        </is>
      </c>
      <c r="E18" s="25" t="inlineStr">
        <is>
          <t>Formül (metin)</t>
        </is>
      </c>
      <c r="F18" s="13" t="inlineStr">
        <is>
          <t>Kaynak fonksiyon</t>
        </is>
      </c>
    </row>
    <row r="19">
      <c r="A19" s="23" t="inlineStr">
        <is>
          <t>Hedef ilerlemesi %</t>
        </is>
      </c>
      <c r="B19" s="26">
        <f>((B14-B15)/B14)/(B16/100)*100</f>
        <v/>
      </c>
      <c r="C19" s="27" t="n">
        <v>86</v>
      </c>
      <c r="D19" s="19">
        <f>IF(ISNUMBER(C19),IF(ABS(B19-C19)&lt;=0.01,"✓ EŞLEŞTİ","✗ FARK "&amp;TEXT(B19-C19,"0.000")),IF(EXACT(B19,C19),"✓ EŞLEŞTİ","✗ FARK"))</f>
        <v/>
      </c>
      <c r="E19" s="28" t="inlineStr">
        <is>
          <t>((B14-B15)/B14)/(B16/100)*100</t>
        </is>
      </c>
      <c r="F19" s="29" t="inlineStr">
        <is>
          <t>savingsTargetProgress</t>
        </is>
      </c>
    </row>
    <row r="20">
      <c r="A20" s="23" t="inlineStr">
        <is>
          <t>İlerleme (baz=0 → null)</t>
        </is>
      </c>
      <c r="B20" s="17">
        <f>IF(0&lt;=0,"null",1)</f>
        <v/>
      </c>
      <c r="C20" s="30" t="inlineStr">
        <is>
          <t>null</t>
        </is>
      </c>
      <c r="D20" s="19">
        <f>IF(ISNUMBER(C20),IF(ABS(B20-C20)&lt;=0.01,"✓ EŞLEŞTİ","✗ FARK "&amp;TEXT(B20-C20,"0.000")),IF(EXACT(B20,C20),"✓ EŞLEŞTİ","✗ FARK"))</f>
        <v/>
      </c>
      <c r="E20" s="28" t="inlineStr">
        <is>
          <t>IF(0&lt;=0,"null",1)</t>
        </is>
      </c>
      <c r="F20" s="29" t="inlineStr">
        <is>
          <t>savingsTargetProgress</t>
        </is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48" customWidth="1" min="5" max="5"/>
    <col width="26" customWidth="1" min="6" max="6"/>
  </cols>
  <sheetData>
    <row r="1">
      <c r="A1" s="12" t="inlineStr">
        <is>
          <t>11 · Anomali Tespiti ve Kalite Skoru</t>
        </is>
      </c>
    </row>
    <row r="2" ht="30" customHeight="1">
      <c r="A2" s="2" t="inlineStr">
        <is>
          <t>detectAnomalies: m=medyan; MAD=medyan(|x−m|); eşik=MAX(3×1.4826×MAD, 0.3×m); |x−m|&gt;eşik ise anomali; &gt;2×eşik ise 'yuksek'.  qualityScore = ROUND(100×(0.4×tamlık+0.3×onay+0.2×belge+0.1×(1−aykırı))).</t>
        </is>
      </c>
    </row>
    <row r="3">
      <c r="A3" s="2" t="inlineStr">
        <is>
          <t>Kaynak: engine.ts → detectAnomalies, qualityScore</t>
        </is>
      </c>
    </row>
    <row r="5">
      <c r="A5" s="3" t="inlineStr">
        <is>
          <t>Anomali serisi: 100, 105, 98, 102, 300, 101</t>
        </is>
      </c>
    </row>
    <row r="6">
      <c r="A6" s="13" t="inlineStr">
        <is>
          <t>Değer</t>
        </is>
      </c>
      <c r="B6" s="13" t="inlineStr">
        <is>
          <t>|x − medyan| (canlı)</t>
        </is>
      </c>
      <c r="C6" s="13" t="inlineStr">
        <is>
          <t>Sapma % (canlı)</t>
        </is>
      </c>
      <c r="D6" s="13" t="inlineStr">
        <is>
          <t>Anomali? (canlı)</t>
        </is>
      </c>
    </row>
    <row r="7">
      <c r="A7" s="32" t="n">
        <v>100</v>
      </c>
      <c r="B7" s="17">
        <f>ABS(A7-MEDIAN($A$7:$A$12))</f>
        <v/>
      </c>
      <c r="C7" s="26">
        <f>(A7-MEDIAN($A$7:$A$12))/MEDIAN($A$7:$A$12)*100</f>
        <v/>
      </c>
      <c r="D7" s="38">
        <f>IF(B7&gt;MAX(3*1.4826*MEDIAN($B$7:$B$12),0.3*MEDIAN($A$7:$A$12)),IF(B7&gt;2*MAX(3*1.4826*MEDIAN($B$7:$B$12),0.3*MEDIAN($A$7:$A$12)),"yuksek","orta"),"—")</f>
        <v/>
      </c>
    </row>
    <row r="8">
      <c r="A8" s="32" t="n">
        <v>105</v>
      </c>
      <c r="B8" s="17">
        <f>ABS(A8-MEDIAN($A$7:$A$12))</f>
        <v/>
      </c>
      <c r="C8" s="26">
        <f>(A8-MEDIAN($A$7:$A$12))/MEDIAN($A$7:$A$12)*100</f>
        <v/>
      </c>
      <c r="D8" s="38">
        <f>IF(B8&gt;MAX(3*1.4826*MEDIAN($B$7:$B$12),0.3*MEDIAN($A$7:$A$12)),IF(B8&gt;2*MAX(3*1.4826*MEDIAN($B$7:$B$12),0.3*MEDIAN($A$7:$A$12)),"yuksek","orta"),"—")</f>
        <v/>
      </c>
    </row>
    <row r="9">
      <c r="A9" s="32" t="n">
        <v>98</v>
      </c>
      <c r="B9" s="17">
        <f>ABS(A9-MEDIAN($A$7:$A$12))</f>
        <v/>
      </c>
      <c r="C9" s="26">
        <f>(A9-MEDIAN($A$7:$A$12))/MEDIAN($A$7:$A$12)*100</f>
        <v/>
      </c>
      <c r="D9" s="38">
        <f>IF(B9&gt;MAX(3*1.4826*MEDIAN($B$7:$B$12),0.3*MEDIAN($A$7:$A$12)),IF(B9&gt;2*MAX(3*1.4826*MEDIAN($B$7:$B$12),0.3*MEDIAN($A$7:$A$12)),"yuksek","orta"),"—")</f>
        <v/>
      </c>
    </row>
    <row r="10">
      <c r="A10" s="32" t="n">
        <v>102</v>
      </c>
      <c r="B10" s="17">
        <f>ABS(A10-MEDIAN($A$7:$A$12))</f>
        <v/>
      </c>
      <c r="C10" s="26">
        <f>(A10-MEDIAN($A$7:$A$12))/MEDIAN($A$7:$A$12)*100</f>
        <v/>
      </c>
      <c r="D10" s="38">
        <f>IF(B10&gt;MAX(3*1.4826*MEDIAN($B$7:$B$12),0.3*MEDIAN($A$7:$A$12)),IF(B10&gt;2*MAX(3*1.4826*MEDIAN($B$7:$B$12),0.3*MEDIAN($A$7:$A$12)),"yuksek","orta"),"—")</f>
        <v/>
      </c>
    </row>
    <row r="11">
      <c r="A11" s="32" t="n">
        <v>300</v>
      </c>
      <c r="B11" s="17">
        <f>ABS(A11-MEDIAN($A$7:$A$12))</f>
        <v/>
      </c>
      <c r="C11" s="26">
        <f>(A11-MEDIAN($A$7:$A$12))/MEDIAN($A$7:$A$12)*100</f>
        <v/>
      </c>
      <c r="D11" s="38">
        <f>IF(B11&gt;MAX(3*1.4826*MEDIAN($B$7:$B$12),0.3*MEDIAN($A$7:$A$12)),IF(B11&gt;2*MAX(3*1.4826*MEDIAN($B$7:$B$12),0.3*MEDIAN($A$7:$A$12)),"yuksek","orta"),"—")</f>
        <v/>
      </c>
    </row>
    <row r="12">
      <c r="A12" s="32" t="n">
        <v>101</v>
      </c>
      <c r="B12" s="17">
        <f>ABS(A12-MEDIAN($A$7:$A$12))</f>
        <v/>
      </c>
      <c r="C12" s="26">
        <f>(A12-MEDIAN($A$7:$A$12))/MEDIAN($A$7:$A$12)*100</f>
        <v/>
      </c>
      <c r="D12" s="38">
        <f>IF(B12&gt;MAX(3*1.4826*MEDIAN($B$7:$B$12),0.3*MEDIAN($A$7:$A$12)),IF(B12&gt;2*MAX(3*1.4826*MEDIAN($B$7:$B$12),0.3*MEDIAN($A$7:$A$12)),"yuksek","orta"),"—")</f>
        <v/>
      </c>
    </row>
    <row r="14">
      <c r="A14" s="13" t="inlineStr">
        <is>
          <t>Gösterge</t>
        </is>
      </c>
      <c r="B14" s="13" t="inlineStr">
        <is>
          <t>Canlı Sonuç (formül)</t>
        </is>
      </c>
      <c r="C14" s="13" t="inlineStr">
        <is>
          <t>Beklenen</t>
        </is>
      </c>
      <c r="D14" s="13" t="inlineStr">
        <is>
          <t>KONTROL</t>
        </is>
      </c>
      <c r="E14" s="25" t="inlineStr">
        <is>
          <t>Formül (metin)</t>
        </is>
      </c>
      <c r="F14" s="13" t="inlineStr">
        <is>
          <t>Kaynak fonksiyon</t>
        </is>
      </c>
    </row>
    <row r="15">
      <c r="A15" s="23" t="inlineStr">
        <is>
          <t>Medyan (m)</t>
        </is>
      </c>
      <c r="B15" s="17">
        <f>MEDIAN($A$7:$A$12)</f>
        <v/>
      </c>
      <c r="C15" s="18" t="n">
        <v>101.5</v>
      </c>
      <c r="D15" s="19">
        <f>IF(ISNUMBER(C15),IF(ABS(B15-C15)&lt;=0.01,"✓ EŞLEŞTİ","✗ FARK "&amp;TEXT(B15-C15,"0.000")),IF(EXACT(B15,C15),"✓ EŞLEŞTİ","✗ FARK"))</f>
        <v/>
      </c>
      <c r="E15" s="28" t="inlineStr">
        <is>
          <t>MEDIAN($A$7:$A$12)</t>
        </is>
      </c>
      <c r="F15" s="29" t="inlineStr">
        <is>
          <t>detectAnomalies</t>
        </is>
      </c>
    </row>
    <row r="16">
      <c r="A16" s="23" t="inlineStr">
        <is>
          <t>MAD</t>
        </is>
      </c>
      <c r="B16" s="17">
        <f>MEDIAN($B$7:$B$12)</f>
        <v/>
      </c>
      <c r="C16" s="18" t="n">
        <v>2.5</v>
      </c>
      <c r="D16" s="19">
        <f>IF(ISNUMBER(C16),IF(ABS(B16-C16)&lt;=0.01,"✓ EŞLEŞTİ","✗ FARK "&amp;TEXT(B16-C16,"0.000")),IF(EXACT(B16,C16),"✓ EŞLEŞTİ","✗ FARK"))</f>
        <v/>
      </c>
      <c r="E16" s="28" t="inlineStr">
        <is>
          <t>MEDIAN($B$7:$B$12)</t>
        </is>
      </c>
      <c r="F16" s="29" t="inlineStr">
        <is>
          <t>detectAnomalies</t>
        </is>
      </c>
    </row>
    <row r="17">
      <c r="A17" s="23" t="inlineStr">
        <is>
          <t>Eşik</t>
        </is>
      </c>
      <c r="B17" s="17">
        <f>MAX(3*1.4826*MEDIAN($B$7:$B$12),0.3*MEDIAN($A$7:$A$12))</f>
        <v/>
      </c>
      <c r="C17" s="18" t="n">
        <v>30.45</v>
      </c>
      <c r="D17" s="19">
        <f>IF(ISNUMBER(C17),IF(ABS(B17-C17)&lt;=0.01,"✓ EŞLEŞTİ","✗ FARK "&amp;TEXT(B17-C17,"0.000")),IF(EXACT(B17,C17),"✓ EŞLEŞTİ","✗ FARK"))</f>
        <v/>
      </c>
      <c r="E17" s="28" t="inlineStr">
        <is>
          <t>MAX(3*1.4826*MEDIAN($B$7:$B$12),0.3*MEDIAN($A$7:$A$12))</t>
        </is>
      </c>
      <c r="F17" s="29" t="inlineStr">
        <is>
          <t>detectAnomalies</t>
        </is>
      </c>
    </row>
    <row r="18">
      <c r="A18" s="23" t="inlineStr">
        <is>
          <t>300 için sapma %</t>
        </is>
      </c>
      <c r="B18" s="26">
        <f>(300-MEDIAN($A$7:$A$12))/MEDIAN($A$7:$A$12)*100</f>
        <v/>
      </c>
      <c r="C18" s="27" t="n">
        <v>195.5665</v>
      </c>
      <c r="D18" s="19">
        <f>IF(ISNUMBER(C18),IF(ABS(B18-C18)&lt;=0.01,"✓ EŞLEŞTİ","✗ FARK "&amp;TEXT(B18-C18,"0.000")),IF(EXACT(B18,C18),"✓ EŞLEŞTİ","✗ FARK"))</f>
        <v/>
      </c>
      <c r="E18" s="28" t="inlineStr">
        <is>
          <t>(300-MEDIAN($A$7:$A$12))/MEDIAN($A$7:$A$12)*100</t>
        </is>
      </c>
      <c r="F18" s="29" t="inlineStr">
        <is>
          <t>detectAnomalies</t>
        </is>
      </c>
    </row>
    <row r="20">
      <c r="A20" s="20" t="inlineStr">
        <is>
          <t>Eşik = MAX(3×1.4826×2.5=11.12, 0.3×101.5=30.45) = 30.45. 300 için |x−m|=198.5 &gt; 2×30.45=60.9 → 'yuksek'. Diğerleri eşik altında → '—'.</t>
        </is>
      </c>
    </row>
    <row r="22">
      <c r="A22" s="3" t="inlineStr">
        <is>
          <t>qualityScore</t>
        </is>
      </c>
    </row>
    <row r="23">
      <c r="A23" s="23" t="inlineStr">
        <is>
          <t>beklenen kayıt</t>
        </is>
      </c>
      <c r="B23" s="31" t="n">
        <v>126</v>
      </c>
      <c r="C23" s="20" t="inlineStr">
        <is>
          <t>adet</t>
        </is>
      </c>
    </row>
    <row r="24">
      <c r="A24" s="23" t="inlineStr">
        <is>
          <t>dolu (girilmiş)</t>
        </is>
      </c>
      <c r="B24" s="31" t="n">
        <v>125</v>
      </c>
      <c r="C24" s="20" t="inlineStr">
        <is>
          <t>adet</t>
        </is>
      </c>
    </row>
    <row r="25">
      <c r="A25" s="23" t="inlineStr">
        <is>
          <t>toplam kayıt</t>
        </is>
      </c>
      <c r="B25" s="31" t="n">
        <v>160</v>
      </c>
      <c r="C25" s="20" t="inlineStr">
        <is>
          <t>adet</t>
        </is>
      </c>
    </row>
    <row r="26">
      <c r="A26" s="23" t="inlineStr">
        <is>
          <t>onaylı</t>
        </is>
      </c>
      <c r="B26" s="31" t="n">
        <v>160</v>
      </c>
      <c r="C26" s="20" t="inlineStr">
        <is>
          <t>adet</t>
        </is>
      </c>
    </row>
    <row r="27">
      <c r="A27" s="23" t="inlineStr">
        <is>
          <t>belgeli</t>
        </is>
      </c>
      <c r="B27" s="31" t="n">
        <v>160</v>
      </c>
      <c r="C27" s="20" t="inlineStr">
        <is>
          <t>adet</t>
        </is>
      </c>
    </row>
    <row r="28">
      <c r="A28" s="23" t="inlineStr">
        <is>
          <t>aykırı (anomali)</t>
        </is>
      </c>
      <c r="B28" s="31" t="n">
        <v>1</v>
      </c>
      <c r="C28" s="20" t="inlineStr">
        <is>
          <t>adet</t>
        </is>
      </c>
    </row>
    <row r="30">
      <c r="A30" s="13" t="inlineStr">
        <is>
          <t>Gösterge</t>
        </is>
      </c>
      <c r="B30" s="13" t="inlineStr">
        <is>
          <t>Canlı Sonuç (formül)</t>
        </is>
      </c>
      <c r="C30" s="13" t="inlineStr">
        <is>
          <t>Beklenen</t>
        </is>
      </c>
      <c r="D30" s="13" t="inlineStr">
        <is>
          <t>KONTROL</t>
        </is>
      </c>
      <c r="E30" s="25" t="inlineStr">
        <is>
          <t>Formül (metin)</t>
        </is>
      </c>
      <c r="F30" s="13" t="inlineStr">
        <is>
          <t>Kaynak fonksiyon</t>
        </is>
      </c>
    </row>
    <row r="31">
      <c r="A31" s="23" t="inlineStr">
        <is>
          <t>Kalite skoru (0–100)</t>
        </is>
      </c>
      <c r="B31" s="35">
        <f>ROUND(100*(0.4*MIN(1,B24/B23)+0.3*MIN(1,B26/B25)+0.2*MIN(1,B27/B25)+0.1*(1-MIN(1,B28/B25))),0)</f>
        <v/>
      </c>
      <c r="C31" s="36" t="n">
        <v>100</v>
      </c>
      <c r="D31" s="19">
        <f>IF(ISNUMBER(C31),IF(ABS(B31-C31)&lt;=0.01,"✓ EŞLEŞTİ","✗ FARK "&amp;TEXT(B31-C31,"0.000")),IF(EXACT(B31,C31),"✓ EŞLEŞTİ","✗ FARK"))</f>
        <v/>
      </c>
      <c r="E31" s="28" t="inlineStr">
        <is>
          <t>ROUND(100*(0.4*MIN(1,B24/B23)+0.3*MIN(1,B26/B25)+0.2*MIN(1,B27/B25)+0.1*(1-MIN(1,B28/B25))),0)</t>
        </is>
      </c>
      <c r="F31" s="29" t="inlineStr">
        <is>
          <t>qualityScore</t>
        </is>
      </c>
    </row>
  </sheetData>
  <mergeCells count="6">
    <mergeCell ref="A2:F2"/>
    <mergeCell ref="A1:F1"/>
    <mergeCell ref="A5:F5"/>
    <mergeCell ref="A22:F22"/>
    <mergeCell ref="A3:F3"/>
    <mergeCell ref="A20:F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12 · Filo Önceliklendirme Skoru</t>
        </is>
      </c>
    </row>
    <row r="2" ht="30" customHeight="1">
      <c r="A2" s="2" t="inlineStr">
        <is>
          <t>fleetPriorityScore = MAX(0, tCO2e) × yakıtKatsayısı.  Katsayılar: DIZEL 1.0, BENZIN 0.9, LPG 0.8, CNG 0.7, ELEKTRIK 0.0, diğer 1.0.</t>
        </is>
      </c>
    </row>
    <row r="3">
      <c r="A3" s="2" t="inlineStr">
        <is>
          <t>Kaynak: engine.ts → fleetPriorityScore, FUEL_PRIORITY_COEF</t>
        </is>
      </c>
    </row>
    <row r="5">
      <c r="A5" s="3" t="inlineStr">
        <is>
          <t>Yakıt katsayı tablosu</t>
        </is>
      </c>
    </row>
    <row r="6">
      <c r="A6" s="9" t="inlineStr">
        <is>
          <t>DIZEL</t>
        </is>
      </c>
      <c r="B6" s="34" t="n">
        <v>1</v>
      </c>
    </row>
    <row r="7">
      <c r="A7" s="9" t="inlineStr">
        <is>
          <t>BENZIN</t>
        </is>
      </c>
      <c r="B7" s="34" t="n">
        <v>0.9</v>
      </c>
    </row>
    <row r="8">
      <c r="A8" s="9" t="inlineStr">
        <is>
          <t>LPG</t>
        </is>
      </c>
      <c r="B8" s="34" t="n">
        <v>0.8</v>
      </c>
    </row>
    <row r="9">
      <c r="A9" s="9" t="inlineStr">
        <is>
          <t>CNG</t>
        </is>
      </c>
      <c r="B9" s="34" t="n">
        <v>0.7</v>
      </c>
    </row>
    <row r="10">
      <c r="A10" s="9" t="inlineStr">
        <is>
          <t>ELEKTRIK</t>
        </is>
      </c>
      <c r="B10" s="34" t="n">
        <v>0</v>
      </c>
    </row>
    <row r="12">
      <c r="A12" s="13" t="inlineStr">
        <is>
          <t>Araç (yakıt)</t>
        </is>
      </c>
      <c r="B12" s="13" t="inlineStr">
        <is>
          <t>tCO2e</t>
        </is>
      </c>
      <c r="C12" s="13" t="inlineStr">
        <is>
          <t>Katsayı (VLOOKUP)</t>
        </is>
      </c>
      <c r="D12" s="13" t="inlineStr">
        <is>
          <t>Skor (canlı)</t>
        </is>
      </c>
      <c r="E12" s="13" t="inlineStr">
        <is>
          <t>Beklenen</t>
        </is>
      </c>
      <c r="F12" s="13" t="inlineStr">
        <is>
          <t>KONTROL</t>
        </is>
      </c>
    </row>
    <row r="13">
      <c r="A13" s="9" t="inlineStr">
        <is>
          <t>DIZEL</t>
        </is>
      </c>
      <c r="B13" s="14" t="n">
        <v>120</v>
      </c>
      <c r="C13" s="21">
        <f>IFERROR(VLOOKUP(A13,$A$6:$B$10,2,FALSE),1)</f>
        <v/>
      </c>
      <c r="D13" s="16">
        <f>MAX(0,B13)*C13</f>
        <v/>
      </c>
      <c r="E13" s="22" t="n">
        <v>120</v>
      </c>
      <c r="F13" s="19">
        <f>IF(ABS(D13-E13)&lt;=0.01,"✓ EŞLEŞTİ","✗ FARK")</f>
        <v/>
      </c>
    </row>
    <row r="14">
      <c r="A14" s="9" t="inlineStr">
        <is>
          <t>BENZIN</t>
        </is>
      </c>
      <c r="B14" s="14" t="n">
        <v>120</v>
      </c>
      <c r="C14" s="21">
        <f>IFERROR(VLOOKUP(A14,$A$6:$B$10,2,FALSE),1)</f>
        <v/>
      </c>
      <c r="D14" s="16">
        <f>MAX(0,B14)*C14</f>
        <v/>
      </c>
      <c r="E14" s="22" t="n">
        <v>108</v>
      </c>
      <c r="F14" s="19">
        <f>IF(ABS(D14-E14)&lt;=0.01,"✓ EŞLEŞTİ","✗ FARK")</f>
        <v/>
      </c>
    </row>
    <row r="15">
      <c r="A15" s="9" t="inlineStr">
        <is>
          <t>LPG</t>
        </is>
      </c>
      <c r="B15" s="14" t="n">
        <v>100</v>
      </c>
      <c r="C15" s="21">
        <f>IFERROR(VLOOKUP(A15,$A$6:$B$10,2,FALSE),1)</f>
        <v/>
      </c>
      <c r="D15" s="16">
        <f>MAX(0,B15)*C15</f>
        <v/>
      </c>
      <c r="E15" s="22" t="n">
        <v>80</v>
      </c>
      <c r="F15" s="19">
        <f>IF(ABS(D15-E15)&lt;=0.01,"✓ EŞLEŞTİ","✗ FARK")</f>
        <v/>
      </c>
    </row>
    <row r="16">
      <c r="A16" s="9" t="inlineStr">
        <is>
          <t>CNG</t>
        </is>
      </c>
      <c r="B16" s="14" t="n">
        <v>90</v>
      </c>
      <c r="C16" s="21">
        <f>IFERROR(VLOOKUP(A16,$A$6:$B$10,2,FALSE),1)</f>
        <v/>
      </c>
      <c r="D16" s="16">
        <f>MAX(0,B16)*C16</f>
        <v/>
      </c>
      <c r="E16" s="22" t="n">
        <v>63</v>
      </c>
      <c r="F16" s="19">
        <f>IF(ABS(D16-E16)&lt;=0.01,"✓ EŞLEŞTİ","✗ FARK")</f>
        <v/>
      </c>
    </row>
    <row r="17">
      <c r="A17" s="9" t="inlineStr">
        <is>
          <t>ELEKTRIK</t>
        </is>
      </c>
      <c r="B17" s="14" t="n">
        <v>50</v>
      </c>
      <c r="C17" s="21">
        <f>IFERROR(VLOOKUP(A17,$A$6:$B$10,2,FALSE),1)</f>
        <v/>
      </c>
      <c r="D17" s="16">
        <f>MAX(0,B17)*C17</f>
        <v/>
      </c>
      <c r="E17" s="22" t="n">
        <v>0</v>
      </c>
      <c r="F17" s="19">
        <f>IF(ABS(D17-E17)&lt;=0.01,"✓ EŞLEŞTİ","✗ FARK")</f>
        <v/>
      </c>
    </row>
    <row r="18">
      <c r="A18" s="9" t="inlineStr">
        <is>
          <t>ARAC_KM (diğer→1.0)</t>
        </is>
      </c>
      <c r="B18" s="14" t="n">
        <v>40</v>
      </c>
      <c r="C18" s="21">
        <f>IFERROR(VLOOKUP(A18,$A$6:$B$10,2,FALSE),1)</f>
        <v/>
      </c>
      <c r="D18" s="16">
        <f>MAX(0,B18)*C18</f>
        <v/>
      </c>
      <c r="E18" s="22" t="n">
        <v>40</v>
      </c>
      <c r="F18" s="19">
        <f>IF(ABS(D18-E18)&lt;=0.01,"✓ EŞLEŞTİ","✗ FARK")</f>
        <v/>
      </c>
    </row>
    <row r="20">
      <c r="A20" s="20" t="inlineStr">
        <is>
          <t>Katsayı, yakıt adıyla tablodan VLOOKUP (tam eşleşme) ile çekilir; tabloda olmayan yakıt (ör. ARAC_KM) için IFERROR ile varsayılan 1.0 kullanılır. ELEKTRIK katsayısı 0 → skor 0.</t>
        </is>
      </c>
    </row>
  </sheetData>
  <mergeCells count="5">
    <mergeCell ref="A2:F2"/>
    <mergeCell ref="A1:F1"/>
    <mergeCell ref="A5:F5"/>
    <mergeCell ref="A3:F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2026-07-09T11:43:53Z</dcterms:created>
  <dcterms:modified xsi:type="dcterms:W3CDTF">2026-07-09T11:43:53Z</dcterms:modified>
</cp:coreProperties>
</file>